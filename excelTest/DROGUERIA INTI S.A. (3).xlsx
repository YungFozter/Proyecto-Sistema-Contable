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SUS\Downloads\"/>
    </mc:Choice>
  </mc:AlternateContent>
  <xr:revisionPtr revIDLastSave="0" documentId="8_{EF029397-1F86-524A-9BD1-A01EBD2455F4}" xr6:coauthVersionLast="47" xr6:coauthVersionMax="47" xr10:uidLastSave="{00000000-0000-0000-0000-000000000000}"/>
  <bookViews>
    <workbookView xWindow="-120" yWindow="-120" windowWidth="20730" windowHeight="11160" activeTab="1" xr2:uid="{00000000-000D-0000-FFFF-FFFF00000000}"/>
  </bookViews>
  <sheets>
    <sheet name="BG - ER" sheetId="3" r:id="rId1"/>
    <sheet name="Hoja1" sheetId="10" r:id="rId2"/>
    <sheet name="NOTAS" sheetId="4" r:id="rId3"/>
    <sheet name="LIQUIDEZ" sheetId="2" r:id="rId4"/>
    <sheet name="DEUDA" sheetId="6" r:id="rId5"/>
    <sheet name="EFICIENCIA O ACTIVIDAD" sheetId="7" r:id="rId6"/>
    <sheet name="RENTABILIDAD" sheetId="8" r:id="rId7"/>
    <sheet name="DUPONT" sheetId="9" r:id="rId8"/>
    <sheet name="TEORIA" sheetId="5"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16V5FNEBaRSp+PTGR+bqo3udqwwQ2I+o5wdAWFUZ/w="/>
    </ext>
  </extLst>
</workbook>
</file>

<file path=xl/calcChain.xml><?xml version="1.0" encoding="utf-8"?>
<calcChain xmlns="http://schemas.openxmlformats.org/spreadsheetml/2006/main">
  <c r="E30" i="10" l="1"/>
  <c r="D30" i="10"/>
  <c r="C30" i="10"/>
  <c r="B30" i="10"/>
  <c r="C31" i="10"/>
  <c r="D31" i="10"/>
  <c r="E31" i="10"/>
  <c r="B31" i="10"/>
  <c r="B29" i="10"/>
  <c r="C29" i="10"/>
  <c r="D29" i="10"/>
  <c r="E29" i="10"/>
  <c r="C28" i="10"/>
  <c r="D28" i="10"/>
  <c r="E28" i="10"/>
  <c r="B28" i="10"/>
  <c r="C27" i="10"/>
  <c r="D27" i="10"/>
  <c r="E27" i="10"/>
  <c r="B27" i="10"/>
  <c r="B26" i="10"/>
  <c r="C26" i="10"/>
  <c r="D26" i="10"/>
  <c r="E26" i="10"/>
  <c r="C25" i="10"/>
  <c r="D25" i="10"/>
  <c r="E25" i="10"/>
  <c r="B25" i="10"/>
  <c r="C4" i="10"/>
  <c r="D4" i="10"/>
  <c r="D17" i="10"/>
  <c r="E4" i="10"/>
  <c r="E17" i="10"/>
  <c r="B4" i="10"/>
  <c r="B17" i="10"/>
  <c r="C23" i="10"/>
  <c r="D23" i="10"/>
  <c r="E23" i="10"/>
  <c r="B23" i="10"/>
  <c r="C22" i="10"/>
  <c r="D22" i="10"/>
  <c r="E22" i="10"/>
  <c r="B22" i="10"/>
  <c r="C21" i="10"/>
  <c r="D21" i="10"/>
  <c r="E21" i="10"/>
  <c r="B21" i="10"/>
  <c r="C20" i="10"/>
  <c r="D20" i="10"/>
  <c r="E20" i="10"/>
  <c r="B20" i="10"/>
  <c r="C19" i="10"/>
  <c r="D19" i="10"/>
  <c r="E19" i="10"/>
  <c r="B19" i="10"/>
  <c r="C17" i="10"/>
  <c r="C16" i="10"/>
  <c r="D16" i="10"/>
  <c r="E16" i="10"/>
  <c r="B16" i="10"/>
  <c r="C15" i="10"/>
  <c r="D15" i="10"/>
  <c r="E15" i="10"/>
  <c r="B15" i="10"/>
  <c r="C14" i="10"/>
  <c r="D14" i="10"/>
  <c r="E14" i="10"/>
  <c r="B14" i="10"/>
  <c r="B13" i="10"/>
  <c r="C13" i="10"/>
  <c r="D13" i="10"/>
  <c r="E13" i="10"/>
  <c r="C12" i="10"/>
  <c r="D12" i="10"/>
  <c r="E12" i="10"/>
  <c r="B12" i="10"/>
  <c r="B11" i="10"/>
  <c r="C11" i="10"/>
  <c r="D11" i="10"/>
  <c r="E11" i="10"/>
  <c r="C10" i="10"/>
  <c r="D10" i="10"/>
  <c r="E10" i="10"/>
  <c r="B10" i="10"/>
  <c r="B7" i="10"/>
  <c r="C7" i="10"/>
  <c r="D7" i="10"/>
  <c r="E7" i="10"/>
  <c r="B8" i="10"/>
  <c r="C8" i="10"/>
  <c r="D8" i="10"/>
  <c r="E8" i="10"/>
  <c r="B9" i="10"/>
  <c r="C9" i="10"/>
  <c r="D9" i="10"/>
  <c r="E9" i="10"/>
  <c r="C6" i="10"/>
  <c r="D6" i="10"/>
  <c r="E6" i="10"/>
  <c r="B6" i="10"/>
  <c r="C5" i="10"/>
  <c r="D5" i="10"/>
  <c r="E5" i="10"/>
  <c r="B5" i="10"/>
  <c r="D88" i="3"/>
  <c r="J88" i="3"/>
  <c r="C88" i="3"/>
  <c r="C27" i="6"/>
  <c r="C18" i="3"/>
  <c r="C19" i="3"/>
  <c r="G21" i="3"/>
  <c r="D21" i="3"/>
  <c r="E21" i="3"/>
  <c r="F21" i="3"/>
  <c r="C21" i="3"/>
  <c r="E18" i="3"/>
  <c r="F19" i="3"/>
  <c r="F18" i="3"/>
  <c r="D18" i="3"/>
  <c r="G18" i="3"/>
  <c r="G19" i="3"/>
  <c r="E19" i="3"/>
  <c r="D19" i="3"/>
  <c r="O87" i="3"/>
  <c r="P87" i="3"/>
  <c r="Q87" i="3"/>
  <c r="R87" i="3"/>
  <c r="P86" i="3"/>
  <c r="Q86" i="3"/>
  <c r="R86" i="3"/>
  <c r="O86" i="3"/>
  <c r="I87" i="3"/>
  <c r="J87" i="3"/>
  <c r="K87" i="3"/>
  <c r="L87" i="3"/>
  <c r="M87" i="3"/>
  <c r="I88" i="3"/>
  <c r="J86" i="3"/>
  <c r="K86" i="3"/>
  <c r="L86" i="3"/>
  <c r="M86" i="3"/>
  <c r="I86" i="3"/>
  <c r="O55" i="3"/>
  <c r="P55" i="3"/>
  <c r="Q55" i="3"/>
  <c r="R55" i="3"/>
  <c r="O56" i="3"/>
  <c r="P56" i="3"/>
  <c r="Q56" i="3"/>
  <c r="R56" i="3"/>
  <c r="O59" i="3"/>
  <c r="P59" i="3"/>
  <c r="Q59" i="3"/>
  <c r="R59" i="3"/>
  <c r="O60" i="3"/>
  <c r="P60" i="3"/>
  <c r="Q60" i="3"/>
  <c r="R60" i="3"/>
  <c r="O63" i="3"/>
  <c r="P63" i="3"/>
  <c r="Q63" i="3"/>
  <c r="R63" i="3"/>
  <c r="O66" i="3"/>
  <c r="P66" i="3"/>
  <c r="Q66" i="3"/>
  <c r="R66" i="3"/>
  <c r="O67" i="3"/>
  <c r="P67" i="3"/>
  <c r="Q67" i="3"/>
  <c r="R67" i="3"/>
  <c r="O68" i="3"/>
  <c r="P68" i="3"/>
  <c r="Q68" i="3"/>
  <c r="R68" i="3"/>
  <c r="O69" i="3"/>
  <c r="O71" i="3"/>
  <c r="P71" i="3"/>
  <c r="Q71" i="3"/>
  <c r="R71" i="3"/>
  <c r="O72" i="3"/>
  <c r="P72" i="3"/>
  <c r="Q72" i="3"/>
  <c r="R72" i="3"/>
  <c r="O73" i="3"/>
  <c r="O75" i="3"/>
  <c r="P75" i="3"/>
  <c r="Q75" i="3"/>
  <c r="R75" i="3"/>
  <c r="O76" i="3"/>
  <c r="P76" i="3"/>
  <c r="Q76" i="3"/>
  <c r="R76" i="3"/>
  <c r="O77" i="3"/>
  <c r="P77" i="3"/>
  <c r="Q77" i="3"/>
  <c r="R77" i="3"/>
  <c r="O78" i="3"/>
  <c r="P78" i="3"/>
  <c r="Q78" i="3"/>
  <c r="R78" i="3"/>
  <c r="O79" i="3"/>
  <c r="P79" i="3"/>
  <c r="Q79" i="3"/>
  <c r="R79" i="3"/>
  <c r="O82" i="3"/>
  <c r="P82" i="3"/>
  <c r="Q82" i="3"/>
  <c r="R82" i="3"/>
  <c r="O83" i="3"/>
  <c r="P83" i="3"/>
  <c r="Q83" i="3"/>
  <c r="R83" i="3"/>
  <c r="P54" i="3"/>
  <c r="Q54" i="3"/>
  <c r="R54" i="3"/>
  <c r="O54" i="3"/>
  <c r="R37" i="3"/>
  <c r="O30" i="3"/>
  <c r="P30" i="3"/>
  <c r="Q30" i="3"/>
  <c r="R30" i="3"/>
  <c r="O31" i="3"/>
  <c r="P31" i="3"/>
  <c r="Q31" i="3"/>
  <c r="R31" i="3"/>
  <c r="O32" i="3"/>
  <c r="P32" i="3"/>
  <c r="Q32" i="3"/>
  <c r="R32" i="3"/>
  <c r="O33" i="3"/>
  <c r="P33" i="3"/>
  <c r="Q33" i="3"/>
  <c r="R33" i="3"/>
  <c r="O34" i="3"/>
  <c r="P34" i="3"/>
  <c r="Q34" i="3"/>
  <c r="R34" i="3"/>
  <c r="O37" i="3"/>
  <c r="P37" i="3"/>
  <c r="Q37" i="3"/>
  <c r="O38" i="3"/>
  <c r="P38" i="3"/>
  <c r="Q38" i="3"/>
  <c r="R38" i="3"/>
  <c r="O39" i="3"/>
  <c r="P39" i="3"/>
  <c r="Q39" i="3"/>
  <c r="R39" i="3"/>
  <c r="O40" i="3"/>
  <c r="P40" i="3"/>
  <c r="Q40" i="3"/>
  <c r="R40" i="3"/>
  <c r="O44" i="3"/>
  <c r="P44" i="3"/>
  <c r="Q44" i="3"/>
  <c r="R44" i="3"/>
  <c r="O45" i="3"/>
  <c r="P45" i="3"/>
  <c r="Q45" i="3"/>
  <c r="R45" i="3"/>
  <c r="P29" i="3"/>
  <c r="Q29" i="3"/>
  <c r="R29" i="3"/>
  <c r="O29" i="3"/>
  <c r="O7" i="3"/>
  <c r="P7" i="3"/>
  <c r="Q7" i="3"/>
  <c r="R7" i="3"/>
  <c r="O8" i="3"/>
  <c r="P8" i="3"/>
  <c r="Q8" i="3"/>
  <c r="R8" i="3"/>
  <c r="O9" i="3"/>
  <c r="P9" i="3"/>
  <c r="Q9" i="3"/>
  <c r="R9" i="3"/>
  <c r="O10" i="3"/>
  <c r="P10" i="3"/>
  <c r="Q10" i="3"/>
  <c r="R10" i="3"/>
  <c r="O11" i="3"/>
  <c r="P11" i="3"/>
  <c r="Q11" i="3"/>
  <c r="R11" i="3"/>
  <c r="O15" i="3"/>
  <c r="P15" i="3"/>
  <c r="Q15" i="3"/>
  <c r="R15" i="3"/>
  <c r="O16" i="3"/>
  <c r="P16" i="3"/>
  <c r="Q16" i="3"/>
  <c r="R16" i="3"/>
  <c r="O17" i="3"/>
  <c r="P17" i="3"/>
  <c r="Q17" i="3"/>
  <c r="R17" i="3"/>
  <c r="O20" i="3"/>
  <c r="P20" i="3"/>
  <c r="Q20" i="3"/>
  <c r="R20" i="3"/>
  <c r="P6" i="3"/>
  <c r="Q6" i="3"/>
  <c r="R6" i="3"/>
  <c r="O6" i="3"/>
  <c r="I82" i="3"/>
  <c r="I66" i="3"/>
  <c r="J66" i="3"/>
  <c r="K66" i="3"/>
  <c r="L66" i="3"/>
  <c r="M66" i="3"/>
  <c r="I67" i="3"/>
  <c r="J67" i="3"/>
  <c r="K67" i="3"/>
  <c r="L67" i="3"/>
  <c r="M67" i="3"/>
  <c r="I68" i="3"/>
  <c r="J68" i="3"/>
  <c r="K68" i="3"/>
  <c r="L68" i="3"/>
  <c r="M68" i="3"/>
  <c r="I69" i="3"/>
  <c r="J69" i="3"/>
  <c r="I71" i="3"/>
  <c r="J71" i="3"/>
  <c r="K71" i="3"/>
  <c r="L71" i="3"/>
  <c r="M71" i="3"/>
  <c r="I72" i="3"/>
  <c r="J72" i="3"/>
  <c r="K72" i="3"/>
  <c r="L72" i="3"/>
  <c r="M72" i="3"/>
  <c r="I73" i="3"/>
  <c r="J73" i="3"/>
  <c r="I75" i="3"/>
  <c r="J75" i="3"/>
  <c r="K75" i="3"/>
  <c r="L75" i="3"/>
  <c r="M75" i="3"/>
  <c r="I76" i="3"/>
  <c r="J76" i="3"/>
  <c r="K76" i="3"/>
  <c r="L76" i="3"/>
  <c r="M76" i="3"/>
  <c r="I77" i="3"/>
  <c r="J77" i="3"/>
  <c r="K77" i="3"/>
  <c r="L77" i="3"/>
  <c r="M77" i="3"/>
  <c r="I78" i="3"/>
  <c r="J78" i="3"/>
  <c r="K78" i="3"/>
  <c r="L78" i="3"/>
  <c r="M78" i="3"/>
  <c r="I79" i="3"/>
  <c r="J79" i="3"/>
  <c r="K79" i="3"/>
  <c r="L79" i="3"/>
  <c r="M79" i="3"/>
  <c r="I80" i="3"/>
  <c r="J82" i="3"/>
  <c r="K82" i="3"/>
  <c r="L82" i="3"/>
  <c r="M82" i="3"/>
  <c r="I83" i="3"/>
  <c r="J83" i="3"/>
  <c r="K83" i="3"/>
  <c r="L83" i="3"/>
  <c r="M83" i="3"/>
  <c r="I55" i="3"/>
  <c r="J55" i="3"/>
  <c r="K55" i="3"/>
  <c r="L55" i="3"/>
  <c r="M55" i="3"/>
  <c r="I56" i="3"/>
  <c r="J56" i="3"/>
  <c r="K56" i="3"/>
  <c r="L56" i="3"/>
  <c r="M56" i="3"/>
  <c r="I59" i="3"/>
  <c r="J59" i="3"/>
  <c r="K59" i="3"/>
  <c r="L59" i="3"/>
  <c r="M59" i="3"/>
  <c r="I60" i="3"/>
  <c r="J60" i="3"/>
  <c r="K60" i="3"/>
  <c r="L60" i="3"/>
  <c r="M60" i="3"/>
  <c r="I63" i="3"/>
  <c r="J63" i="3"/>
  <c r="K63" i="3"/>
  <c r="L63" i="3"/>
  <c r="M63" i="3"/>
  <c r="J54" i="3"/>
  <c r="K54" i="3"/>
  <c r="L54" i="3"/>
  <c r="M54" i="3"/>
  <c r="I54" i="3"/>
  <c r="D57" i="5"/>
  <c r="E57" i="5"/>
  <c r="C57" i="5"/>
  <c r="I8" i="5"/>
  <c r="I6" i="5"/>
  <c r="I4" i="5"/>
  <c r="I3" i="5"/>
  <c r="H3" i="5"/>
  <c r="H6" i="5"/>
  <c r="H4" i="5"/>
  <c r="H8" i="5"/>
  <c r="D28" i="8"/>
  <c r="C28" i="8"/>
  <c r="D77" i="7"/>
  <c r="E77" i="7"/>
  <c r="F77" i="7"/>
  <c r="G77" i="7"/>
  <c r="C77" i="7"/>
  <c r="D55" i="7"/>
  <c r="E55" i="7"/>
  <c r="F55" i="7"/>
  <c r="G55" i="7"/>
  <c r="C55" i="7"/>
  <c r="D29" i="7"/>
  <c r="E29" i="7"/>
  <c r="F29" i="7"/>
  <c r="G29" i="7"/>
  <c r="C29" i="7"/>
  <c r="D27" i="6"/>
  <c r="F198" i="4"/>
  <c r="E198" i="4"/>
  <c r="C138" i="4"/>
  <c r="D138" i="4"/>
  <c r="E138" i="4"/>
  <c r="B138" i="4"/>
  <c r="D78" i="4"/>
  <c r="F43" i="4"/>
  <c r="F19" i="4"/>
  <c r="F26" i="4"/>
  <c r="E19" i="4"/>
  <c r="E26" i="4"/>
  <c r="D19" i="4"/>
  <c r="C19" i="4"/>
  <c r="B19" i="4"/>
  <c r="G35" i="3"/>
  <c r="G51" i="2"/>
  <c r="F35" i="3"/>
  <c r="Q35" i="3"/>
  <c r="E41" i="3"/>
  <c r="E35" i="3"/>
  <c r="C35" i="3"/>
  <c r="D35" i="3"/>
  <c r="O35" i="3"/>
  <c r="D80" i="3"/>
  <c r="D84" i="3"/>
  <c r="D95" i="8"/>
  <c r="C80" i="3"/>
  <c r="C84" i="3"/>
  <c r="O88" i="3"/>
  <c r="P35" i="3"/>
  <c r="E30" i="7"/>
  <c r="I84" i="3"/>
  <c r="C4" i="9"/>
  <c r="C95" i="8"/>
  <c r="C50" i="8"/>
  <c r="D51" i="2"/>
  <c r="E56" i="7"/>
  <c r="J84" i="3"/>
  <c r="D78" i="7"/>
  <c r="R35" i="3"/>
  <c r="O84" i="3"/>
  <c r="O80" i="3"/>
  <c r="D4" i="9"/>
  <c r="J80" i="3"/>
  <c r="C51" i="2"/>
  <c r="E52" i="2"/>
  <c r="F51" i="2"/>
  <c r="D56" i="7"/>
  <c r="E51" i="2"/>
  <c r="D50" i="8"/>
  <c r="C56" i="7"/>
  <c r="F30" i="7"/>
  <c r="F56" i="7"/>
  <c r="G78" i="7"/>
  <c r="F78" i="7"/>
  <c r="E78" i="7"/>
  <c r="G56" i="7"/>
  <c r="D30" i="7"/>
  <c r="I5" i="5"/>
  <c r="I7" i="5"/>
  <c r="I9" i="5"/>
  <c r="H5" i="5"/>
  <c r="H7" i="5"/>
  <c r="H11" i="5"/>
  <c r="C30" i="7"/>
  <c r="G30" i="7"/>
  <c r="C78" i="7"/>
  <c r="C57" i="3"/>
  <c r="D57" i="3"/>
  <c r="O57" i="3"/>
  <c r="E57" i="3"/>
  <c r="P57" i="3"/>
  <c r="F57" i="3"/>
  <c r="G57" i="3"/>
  <c r="R57" i="3"/>
  <c r="D41" i="3"/>
  <c r="E43" i="3"/>
  <c r="F41" i="3"/>
  <c r="Q41" i="3"/>
  <c r="G41" i="3"/>
  <c r="R41" i="3"/>
  <c r="C41" i="3"/>
  <c r="R21" i="3"/>
  <c r="D12" i="3"/>
  <c r="E12" i="3"/>
  <c r="F12" i="3"/>
  <c r="Q12" i="3"/>
  <c r="G12" i="3"/>
  <c r="R12" i="3"/>
  <c r="C12" i="3"/>
  <c r="O21" i="3"/>
  <c r="O12" i="3"/>
  <c r="G52" i="2"/>
  <c r="O41" i="3"/>
  <c r="P12" i="3"/>
  <c r="P21" i="3"/>
  <c r="Q21" i="3"/>
  <c r="Q57" i="3"/>
  <c r="P41" i="3"/>
  <c r="C61" i="3"/>
  <c r="I57" i="3"/>
  <c r="F52" i="2"/>
  <c r="C43" i="3"/>
  <c r="F43" i="3"/>
  <c r="Q43" i="3"/>
  <c r="C5" i="2"/>
  <c r="C28" i="2"/>
  <c r="E46" i="3"/>
  <c r="K43" i="3"/>
  <c r="E54" i="6"/>
  <c r="G5" i="2"/>
  <c r="G28" i="2"/>
  <c r="F23" i="3"/>
  <c r="F5" i="2"/>
  <c r="F28" i="2"/>
  <c r="G61" i="3"/>
  <c r="M57" i="3"/>
  <c r="C52" i="2"/>
  <c r="E28" i="2"/>
  <c r="E5" i="2"/>
  <c r="L57" i="3"/>
  <c r="F61" i="3"/>
  <c r="D28" i="2"/>
  <c r="D5" i="2"/>
  <c r="E61" i="3"/>
  <c r="K57" i="3"/>
  <c r="D52" i="2"/>
  <c r="D61" i="3"/>
  <c r="O61" i="3"/>
  <c r="J57" i="3"/>
  <c r="I12" i="5"/>
  <c r="I11" i="5"/>
  <c r="H9" i="5"/>
  <c r="H12" i="5"/>
  <c r="G43" i="3"/>
  <c r="R43" i="3"/>
  <c r="G23" i="3"/>
  <c r="D43" i="3"/>
  <c r="E23" i="3"/>
  <c r="C23" i="3"/>
  <c r="I21" i="3"/>
  <c r="D23" i="3"/>
  <c r="D198" i="4"/>
  <c r="D145" i="4"/>
  <c r="E145" i="4"/>
  <c r="F145" i="4"/>
  <c r="C114" i="4"/>
  <c r="D114" i="4"/>
  <c r="E114" i="4"/>
  <c r="B114" i="4"/>
  <c r="C126" i="4"/>
  <c r="D126" i="4"/>
  <c r="E126" i="4"/>
  <c r="B126" i="4"/>
  <c r="F68" i="4"/>
  <c r="C78" i="4"/>
  <c r="B78" i="4"/>
  <c r="C68" i="4"/>
  <c r="B68" i="4"/>
  <c r="E68" i="4"/>
  <c r="D68" i="4"/>
  <c r="D43" i="4"/>
  <c r="E43" i="4"/>
  <c r="C219" i="4"/>
  <c r="D219" i="4"/>
  <c r="E219" i="4"/>
  <c r="F219" i="4"/>
  <c r="B219" i="4"/>
  <c r="C211" i="4"/>
  <c r="D211" i="4"/>
  <c r="E211" i="4"/>
  <c r="F211" i="4"/>
  <c r="B211" i="4"/>
  <c r="C207" i="4"/>
  <c r="D207" i="4"/>
  <c r="E207" i="4"/>
  <c r="F207" i="4"/>
  <c r="B207" i="4"/>
  <c r="C198" i="4"/>
  <c r="B198" i="4"/>
  <c r="C193" i="4"/>
  <c r="D193" i="4"/>
  <c r="E193" i="4"/>
  <c r="F193" i="4"/>
  <c r="F199" i="4"/>
  <c r="B193" i="4"/>
  <c r="B183" i="4"/>
  <c r="C183" i="4"/>
  <c r="D183" i="4"/>
  <c r="E183" i="4"/>
  <c r="F183" i="4"/>
  <c r="C145" i="4"/>
  <c r="B145" i="4"/>
  <c r="D102" i="4"/>
  <c r="E102" i="4"/>
  <c r="C102" i="4"/>
  <c r="B102" i="4"/>
  <c r="E90" i="4"/>
  <c r="D90" i="4"/>
  <c r="C90" i="4"/>
  <c r="B90" i="4"/>
  <c r="D57" i="4"/>
  <c r="D59" i="4"/>
  <c r="D61" i="4"/>
  <c r="E57" i="4"/>
  <c r="E59" i="4"/>
  <c r="E61" i="4"/>
  <c r="F57" i="4"/>
  <c r="F59" i="4"/>
  <c r="F61" i="4"/>
  <c r="G57" i="4"/>
  <c r="G59" i="4"/>
  <c r="G61" i="4"/>
  <c r="H57" i="4"/>
  <c r="H59" i="4"/>
  <c r="H61" i="4"/>
  <c r="I57" i="4"/>
  <c r="I59" i="4"/>
  <c r="I61" i="4"/>
  <c r="J57" i="4"/>
  <c r="J59" i="4"/>
  <c r="J61" i="4"/>
  <c r="K57" i="4"/>
  <c r="K59" i="4"/>
  <c r="K61" i="4"/>
  <c r="C57" i="4"/>
  <c r="C59" i="4"/>
  <c r="C61" i="4"/>
  <c r="B57" i="4"/>
  <c r="B59" i="4"/>
  <c r="B61" i="4"/>
  <c r="C43" i="4"/>
  <c r="B43" i="4"/>
  <c r="C33" i="4"/>
  <c r="D33" i="4"/>
  <c r="E33" i="4"/>
  <c r="F33" i="4"/>
  <c r="B33" i="4"/>
  <c r="D26" i="4"/>
  <c r="C9" i="4"/>
  <c r="D9" i="4"/>
  <c r="E9" i="4"/>
  <c r="F9" i="4"/>
  <c r="B9" i="4"/>
  <c r="O43" i="3"/>
  <c r="K21" i="3"/>
  <c r="P23" i="3"/>
  <c r="Q23" i="3"/>
  <c r="O23" i="3"/>
  <c r="R23" i="3"/>
  <c r="J12" i="3"/>
  <c r="R61" i="3"/>
  <c r="P43" i="3"/>
  <c r="P61" i="3"/>
  <c r="F64" i="3"/>
  <c r="Q61" i="3"/>
  <c r="K12" i="3"/>
  <c r="M12" i="3"/>
  <c r="J34" i="2"/>
  <c r="C6" i="2"/>
  <c r="G6" i="2"/>
  <c r="F6" i="2"/>
  <c r="D6" i="2"/>
  <c r="E6" i="2"/>
  <c r="L11" i="3"/>
  <c r="L20" i="3"/>
  <c r="L9" i="3"/>
  <c r="F5" i="9"/>
  <c r="L16" i="3"/>
  <c r="L6" i="3"/>
  <c r="L7" i="3"/>
  <c r="L15" i="3"/>
  <c r="L10" i="3"/>
  <c r="L23" i="3"/>
  <c r="L17" i="3"/>
  <c r="F5" i="7"/>
  <c r="L8" i="3"/>
  <c r="F7" i="9"/>
  <c r="L21" i="3"/>
  <c r="D64" i="3"/>
  <c r="J61" i="3"/>
  <c r="D6" i="8"/>
  <c r="G64" i="3"/>
  <c r="G6" i="8"/>
  <c r="M61" i="3"/>
  <c r="C29" i="2"/>
  <c r="G29" i="2"/>
  <c r="D29" i="2"/>
  <c r="F29" i="2"/>
  <c r="E29" i="2"/>
  <c r="C64" i="3"/>
  <c r="I64" i="3"/>
  <c r="C6" i="8"/>
  <c r="I61" i="3"/>
  <c r="L61" i="3"/>
  <c r="F6" i="8"/>
  <c r="F4" i="6"/>
  <c r="F54" i="6"/>
  <c r="J9" i="3"/>
  <c r="D5" i="9"/>
  <c r="D6" i="9"/>
  <c r="D8" i="9"/>
  <c r="J16" i="3"/>
  <c r="J6" i="3"/>
  <c r="J7" i="3"/>
  <c r="J10" i="3"/>
  <c r="D73" i="8"/>
  <c r="J23" i="3"/>
  <c r="J17" i="3"/>
  <c r="J11" i="3"/>
  <c r="D5" i="7"/>
  <c r="J8" i="3"/>
  <c r="D7" i="9"/>
  <c r="J20" i="3"/>
  <c r="J15" i="3"/>
  <c r="C46" i="3"/>
  <c r="I43" i="3"/>
  <c r="C4" i="6"/>
  <c r="C54" i="6"/>
  <c r="I16" i="3"/>
  <c r="I7" i="3"/>
  <c r="I10" i="3"/>
  <c r="I23" i="3"/>
  <c r="I17" i="3"/>
  <c r="I11" i="3"/>
  <c r="C73" i="8"/>
  <c r="C5" i="9"/>
  <c r="C6" i="9"/>
  <c r="I8" i="3"/>
  <c r="I6" i="3"/>
  <c r="I20" i="3"/>
  <c r="I15" i="3"/>
  <c r="C5" i="7"/>
  <c r="I9" i="3"/>
  <c r="C7" i="9"/>
  <c r="K20" i="3"/>
  <c r="K9" i="3"/>
  <c r="E5" i="9"/>
  <c r="K16" i="3"/>
  <c r="K6" i="3"/>
  <c r="K7" i="3"/>
  <c r="K10" i="3"/>
  <c r="K23" i="3"/>
  <c r="K17" i="3"/>
  <c r="K11" i="3"/>
  <c r="E5" i="7"/>
  <c r="K8" i="3"/>
  <c r="E7" i="9"/>
  <c r="K15" i="3"/>
  <c r="J21" i="3"/>
  <c r="D46" i="3"/>
  <c r="O46" i="3"/>
  <c r="D54" i="6"/>
  <c r="D4" i="6"/>
  <c r="E4" i="6"/>
  <c r="M23" i="3"/>
  <c r="M11" i="3"/>
  <c r="M20" i="3"/>
  <c r="M9" i="3"/>
  <c r="G5" i="9"/>
  <c r="M16" i="3"/>
  <c r="M15" i="3"/>
  <c r="M10" i="3"/>
  <c r="M7" i="3"/>
  <c r="M6" i="3"/>
  <c r="M17" i="3"/>
  <c r="G5" i="7"/>
  <c r="M8" i="3"/>
  <c r="G7" i="9"/>
  <c r="E64" i="3"/>
  <c r="K61" i="3"/>
  <c r="E6" i="8"/>
  <c r="K34" i="3"/>
  <c r="K45" i="3"/>
  <c r="K32" i="3"/>
  <c r="K39" i="3"/>
  <c r="K30" i="3"/>
  <c r="K29" i="3"/>
  <c r="K31" i="3"/>
  <c r="K38" i="3"/>
  <c r="K44" i="3"/>
  <c r="K33" i="3"/>
  <c r="K46" i="3"/>
  <c r="K40" i="3"/>
  <c r="K41" i="3"/>
  <c r="K35" i="3"/>
  <c r="F46" i="3"/>
  <c r="Q46" i="3"/>
  <c r="G46" i="3"/>
  <c r="M43" i="3"/>
  <c r="G4" i="6"/>
  <c r="G54" i="6"/>
  <c r="L12" i="3"/>
  <c r="I12" i="3"/>
  <c r="M21" i="3"/>
  <c r="D199" i="4"/>
  <c r="E199" i="4"/>
  <c r="D212" i="4"/>
  <c r="C199" i="4"/>
  <c r="E212" i="4"/>
  <c r="B212" i="4"/>
  <c r="F212" i="4"/>
  <c r="C212" i="4"/>
  <c r="B199" i="4"/>
  <c r="G69" i="3"/>
  <c r="R64" i="3"/>
  <c r="M64" i="3"/>
  <c r="E69" i="3"/>
  <c r="E73" i="3"/>
  <c r="P64" i="3"/>
  <c r="K64" i="3"/>
  <c r="J43" i="3"/>
  <c r="R46" i="3"/>
  <c r="C8" i="9"/>
  <c r="J64" i="3"/>
  <c r="O64" i="3"/>
  <c r="P46" i="3"/>
  <c r="F69" i="3"/>
  <c r="Q64" i="3"/>
  <c r="L64" i="3"/>
  <c r="D5" i="6"/>
  <c r="M38" i="3"/>
  <c r="M34" i="3"/>
  <c r="M45" i="3"/>
  <c r="M32" i="3"/>
  <c r="M30" i="3"/>
  <c r="M46" i="3"/>
  <c r="M40" i="3"/>
  <c r="M29" i="3"/>
  <c r="M31" i="3"/>
  <c r="M39" i="3"/>
  <c r="M33" i="3"/>
  <c r="M35" i="3"/>
  <c r="M41" i="3"/>
  <c r="I32" i="3"/>
  <c r="I29" i="3"/>
  <c r="I39" i="3"/>
  <c r="I30" i="3"/>
  <c r="I46" i="3"/>
  <c r="I31" i="3"/>
  <c r="I38" i="3"/>
  <c r="I33" i="3"/>
  <c r="I45" i="3"/>
  <c r="I40" i="3"/>
  <c r="I34" i="3"/>
  <c r="I35" i="3"/>
  <c r="I41" i="3"/>
  <c r="L34" i="3"/>
  <c r="L45" i="3"/>
  <c r="L32" i="3"/>
  <c r="L39" i="3"/>
  <c r="L40" i="3"/>
  <c r="L29" i="3"/>
  <c r="L31" i="3"/>
  <c r="L38" i="3"/>
  <c r="L33" i="3"/>
  <c r="L30" i="3"/>
  <c r="L46" i="3"/>
  <c r="L35" i="3"/>
  <c r="L41" i="3"/>
  <c r="J32" i="3"/>
  <c r="J39" i="3"/>
  <c r="J30" i="3"/>
  <c r="J35" i="3"/>
  <c r="J46" i="3"/>
  <c r="J34" i="3"/>
  <c r="J29" i="3"/>
  <c r="J31" i="3"/>
  <c r="J38" i="3"/>
  <c r="J33" i="3"/>
  <c r="J45" i="3"/>
  <c r="J40" i="3"/>
  <c r="J41" i="3"/>
  <c r="L43" i="3"/>
  <c r="E28" i="8"/>
  <c r="G73" i="3"/>
  <c r="G27" i="6"/>
  <c r="G28" i="8"/>
  <c r="D6" i="7"/>
  <c r="E6" i="7"/>
  <c r="C6" i="7"/>
  <c r="G6" i="7"/>
  <c r="F6" i="7"/>
  <c r="C55" i="6"/>
  <c r="G55" i="6"/>
  <c r="F55" i="6"/>
  <c r="D55" i="6"/>
  <c r="E55" i="6"/>
  <c r="I61" i="6"/>
  <c r="C5" i="6"/>
  <c r="G5" i="6"/>
  <c r="F5" i="6"/>
  <c r="E5" i="6"/>
  <c r="D7" i="8"/>
  <c r="F7" i="8"/>
  <c r="E7" i="8"/>
  <c r="C7" i="8"/>
  <c r="G7" i="8"/>
  <c r="E27" i="6"/>
  <c r="P69" i="3"/>
  <c r="K69" i="3"/>
  <c r="E80" i="3"/>
  <c r="P73" i="3"/>
  <c r="K73" i="3"/>
  <c r="G80" i="3"/>
  <c r="M73" i="3"/>
  <c r="Q69" i="3"/>
  <c r="L69" i="3"/>
  <c r="F73" i="3"/>
  <c r="F27" i="6"/>
  <c r="I39" i="6"/>
  <c r="F28" i="8"/>
  <c r="R69" i="3"/>
  <c r="M69" i="3"/>
  <c r="D28" i="6"/>
  <c r="E28" i="6"/>
  <c r="G28" i="6"/>
  <c r="C29" i="8"/>
  <c r="G29" i="8"/>
  <c r="F29" i="8"/>
  <c r="E29" i="8"/>
  <c r="D29" i="8"/>
  <c r="C28" i="6"/>
  <c r="F28" i="6"/>
  <c r="F80" i="3"/>
  <c r="Q73" i="3"/>
  <c r="L73" i="3"/>
  <c r="R73" i="3"/>
  <c r="E84" i="3"/>
  <c r="P80" i="3"/>
  <c r="K80" i="3"/>
  <c r="G84" i="3"/>
  <c r="R80" i="3"/>
  <c r="M80" i="3"/>
  <c r="M84" i="3"/>
  <c r="G88" i="3"/>
  <c r="G95" i="8"/>
  <c r="G73" i="8"/>
  <c r="G4" i="9"/>
  <c r="G6" i="9"/>
  <c r="G8" i="9"/>
  <c r="G50" i="8"/>
  <c r="P84" i="3"/>
  <c r="K84" i="3"/>
  <c r="E50" i="8"/>
  <c r="E88" i="3"/>
  <c r="E4" i="9"/>
  <c r="E6" i="9"/>
  <c r="E8" i="9"/>
  <c r="E73" i="8"/>
  <c r="E95" i="8"/>
  <c r="F84" i="3"/>
  <c r="Q80" i="3"/>
  <c r="L80" i="3"/>
  <c r="Q84" i="3"/>
  <c r="L84" i="3"/>
  <c r="F88" i="3"/>
  <c r="F73" i="8"/>
  <c r="E74" i="8"/>
  <c r="F50" i="8"/>
  <c r="F95" i="8"/>
  <c r="C96" i="8"/>
  <c r="F4" i="9"/>
  <c r="F6" i="9"/>
  <c r="F8" i="9"/>
  <c r="P88" i="3"/>
  <c r="K88" i="3"/>
  <c r="M88" i="3"/>
  <c r="R88" i="3"/>
  <c r="D96" i="8"/>
  <c r="F96" i="8"/>
  <c r="E96" i="8"/>
  <c r="C51" i="8"/>
  <c r="E51" i="8"/>
  <c r="D51" i="8"/>
  <c r="G51" i="8"/>
  <c r="F51" i="8"/>
  <c r="R84" i="3"/>
  <c r="F74" i="8"/>
  <c r="G74" i="8"/>
  <c r="G96" i="8"/>
  <c r="L88" i="3"/>
  <c r="Q88" i="3"/>
  <c r="D74" i="8"/>
  <c r="C7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5" authorId="0" shapeId="0" xr:uid="{305EF656-8E01-4C75-B601-04811721675E}">
      <text>
        <r>
          <rPr>
            <b/>
            <sz val="9"/>
            <color indexed="81"/>
            <rFont val="Tahoma"/>
            <charset val="1"/>
          </rPr>
          <t xml:space="preserve">Totación de activo= Ventas/Activo total
</t>
        </r>
      </text>
    </comment>
    <comment ref="B29" authorId="0" shapeId="0" xr:uid="{57C46C41-8CE5-4D69-B81B-815FE217204E}">
      <text>
        <r>
          <rPr>
            <b/>
            <sz val="9"/>
            <color indexed="81"/>
            <rFont val="Tahoma"/>
            <family val="2"/>
          </rPr>
          <t xml:space="preserve">user:
</t>
        </r>
        <r>
          <rPr>
            <sz val="9"/>
            <color indexed="81"/>
            <rFont val="Tahoma"/>
            <family val="2"/>
          </rPr>
          <t>Periodo promedio de cobro= 360/(Ventas/Cuentas por cobrar)</t>
        </r>
      </text>
    </comment>
    <comment ref="B55" authorId="0" shapeId="0" xr:uid="{930C7E17-12A2-4EAA-947F-E1C9DA9F503B}">
      <text>
        <r>
          <rPr>
            <b/>
            <sz val="9"/>
            <color indexed="81"/>
            <rFont val="Tahoma"/>
            <family val="2"/>
          </rPr>
          <t>user:</t>
        </r>
        <r>
          <rPr>
            <sz val="9"/>
            <color indexed="81"/>
            <rFont val="Tahoma"/>
            <family val="2"/>
          </rPr>
          <t xml:space="preserve">
Periodo promedio de inventario= 360/(Costo de venta/Inventario)
</t>
        </r>
      </text>
    </comment>
    <comment ref="B77" authorId="0" shapeId="0" xr:uid="{2C2181C4-6133-4EEA-8C7F-38AC566B6F42}">
      <text>
        <r>
          <rPr>
            <b/>
            <sz val="9"/>
            <color indexed="81"/>
            <rFont val="Tahoma"/>
            <family val="2"/>
          </rPr>
          <t>user:</t>
        </r>
        <r>
          <rPr>
            <sz val="9"/>
            <color indexed="81"/>
            <rFont val="Tahoma"/>
            <family val="2"/>
          </rPr>
          <t xml:space="preserve">
Periodo promedio de pago= 360/(Costo de venta/Cuentas por pagar)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6" authorId="0" shapeId="0" xr:uid="{954A9D30-7BEE-4774-BEA8-9BA44DF51ED4}">
      <text>
        <r>
          <rPr>
            <b/>
            <sz val="9"/>
            <color indexed="81"/>
            <rFont val="Tahoma"/>
            <charset val="1"/>
          </rPr>
          <t>user:</t>
        </r>
        <r>
          <rPr>
            <sz val="9"/>
            <color indexed="81"/>
            <rFont val="Tahoma"/>
            <charset val="1"/>
          </rPr>
          <t xml:space="preserve">
Margen bruto= Utilidad bruta/Ventas</t>
        </r>
      </text>
    </comment>
    <comment ref="B28" authorId="0" shapeId="0" xr:uid="{9354FFF6-93B0-4AAB-AE7C-0548640A38C8}">
      <text>
        <r>
          <rPr>
            <b/>
            <sz val="9"/>
            <color indexed="81"/>
            <rFont val="Tahoma"/>
            <charset val="1"/>
          </rPr>
          <t>user:</t>
        </r>
        <r>
          <rPr>
            <sz val="9"/>
            <color indexed="81"/>
            <rFont val="Tahoma"/>
            <charset val="1"/>
          </rPr>
          <t xml:space="preserve">
Margen Operativo= Resultado operativo /ventas </t>
        </r>
      </text>
    </comment>
    <comment ref="B50" authorId="0" shapeId="0" xr:uid="{0770621D-0DDE-4D2D-AF64-ACCAE4F86D34}">
      <text>
        <r>
          <rPr>
            <b/>
            <sz val="9"/>
            <color indexed="81"/>
            <rFont val="Tahoma"/>
            <family val="2"/>
          </rPr>
          <t>user:</t>
        </r>
        <r>
          <rPr>
            <sz val="9"/>
            <color indexed="81"/>
            <rFont val="Tahoma"/>
            <family val="2"/>
          </rPr>
          <t xml:space="preserve">
Margen neto= utilidad neta /ventas</t>
        </r>
      </text>
    </comment>
    <comment ref="B73" authorId="0" shapeId="0" xr:uid="{F1DD8B67-8D75-4325-93BC-19109F96473D}">
      <text>
        <r>
          <rPr>
            <b/>
            <sz val="9"/>
            <color indexed="81"/>
            <rFont val="Tahoma"/>
            <charset val="1"/>
          </rPr>
          <t>user:</t>
        </r>
        <r>
          <rPr>
            <sz val="9"/>
            <color indexed="81"/>
            <rFont val="Tahoma"/>
            <charset val="1"/>
          </rPr>
          <t xml:space="preserve">
Rentabilidad sobre los activos= Resultado neto/Activo total
</t>
        </r>
      </text>
    </comment>
    <comment ref="B95" authorId="0" shapeId="0" xr:uid="{04ACD25E-B7FA-446D-AF16-8766E904A19D}">
      <text>
        <r>
          <rPr>
            <b/>
            <sz val="9"/>
            <color indexed="81"/>
            <rFont val="Tahoma"/>
            <family val="2"/>
          </rPr>
          <t>user:</t>
        </r>
        <r>
          <rPr>
            <sz val="9"/>
            <color indexed="81"/>
            <rFont val="Tahoma"/>
            <family val="2"/>
          </rPr>
          <t xml:space="preserve">
Rentabilidad sobre el patrimonio= Resultado neto/Patrimonio</t>
        </r>
      </text>
    </comment>
  </commentList>
</comments>
</file>

<file path=xl/sharedStrings.xml><?xml version="1.0" encoding="utf-8"?>
<sst xmlns="http://schemas.openxmlformats.org/spreadsheetml/2006/main" count="579" uniqueCount="441">
  <si>
    <t xml:space="preserve">BALANCE GENERAL </t>
  </si>
  <si>
    <t>ACTIVO CORRIENTE</t>
  </si>
  <si>
    <t>Inversiones temporarias</t>
  </si>
  <si>
    <t>Cuentas por cobrar comerciales</t>
  </si>
  <si>
    <t>Otras cuentas por cobrar</t>
  </si>
  <si>
    <t>Pagos anticipados</t>
  </si>
  <si>
    <t>Inventarios</t>
  </si>
  <si>
    <t>Total activo corriente</t>
  </si>
  <si>
    <t>ACTIVO NO CORRIENTE</t>
  </si>
  <si>
    <t>Otros activos</t>
  </si>
  <si>
    <t>ESTADO DE RESULTADOS</t>
  </si>
  <si>
    <t>RESULTADO BRUTO</t>
  </si>
  <si>
    <t>RESULTADO DE OPERACIÓN BRUTO</t>
  </si>
  <si>
    <t>Otros egresos</t>
  </si>
  <si>
    <t>Ingresos financieros</t>
  </si>
  <si>
    <t>Resultado por inversiones permanentes</t>
  </si>
  <si>
    <t>GANANCIA NETA DEL EJERCICIO DESPUES DE IMPUESTO</t>
  </si>
  <si>
    <t>LC=AC/PC</t>
  </si>
  <si>
    <t xml:space="preserve">LC promedio </t>
  </si>
  <si>
    <t>DROGUERIA INTI S.A.</t>
  </si>
  <si>
    <t>Disponiblidades</t>
  </si>
  <si>
    <t>Inversiones permanente</t>
  </si>
  <si>
    <t xml:space="preserve">Total activo no corriente </t>
  </si>
  <si>
    <t>TOTAL ACTIVO</t>
  </si>
  <si>
    <t>Cuentas de orden deudoras</t>
  </si>
  <si>
    <t xml:space="preserve">Mercaderias en consignación </t>
  </si>
  <si>
    <t xml:space="preserve">PASIVO CORRIENTE </t>
  </si>
  <si>
    <t>Deudores comerciales</t>
  </si>
  <si>
    <t>Deudas diversas</t>
  </si>
  <si>
    <t>Obligaciones financieras</t>
  </si>
  <si>
    <t>Bonos y pagares bursatiles</t>
  </si>
  <si>
    <t>Impuestos y cargas sociales por pagar</t>
  </si>
  <si>
    <t>Total pasivo corriente</t>
  </si>
  <si>
    <t xml:space="preserve">PASIVO NO CORRIENTE </t>
  </si>
  <si>
    <t>Previcion para indemnizaciones</t>
  </si>
  <si>
    <t xml:space="preserve">TOTAL PASIVO </t>
  </si>
  <si>
    <t>PATRIMONIO NETO (SEGÚN ESTADO PERTINENTE)</t>
  </si>
  <si>
    <t>Cuentas de orden acreedoras</t>
  </si>
  <si>
    <t>Ingreso por ventas</t>
  </si>
  <si>
    <t>Descuentos, bonificaciones, anulaciones. Devoluciones y premios</t>
  </si>
  <si>
    <t>Costo de la mercaderia vendida</t>
  </si>
  <si>
    <t xml:space="preserve">Otros ingresos </t>
  </si>
  <si>
    <t>Previción por obsolencia</t>
  </si>
  <si>
    <t>Cargos por incobrabilidad</t>
  </si>
  <si>
    <t>RESULTADO DE OPERACIÓN DESPUES DE INCOBRABLES</t>
  </si>
  <si>
    <t xml:space="preserve">Gastos de comercialización </t>
  </si>
  <si>
    <t xml:space="preserve">Gastos de administración </t>
  </si>
  <si>
    <t xml:space="preserve">Gastos de Producción </t>
  </si>
  <si>
    <t xml:space="preserve">RESULTADO OPERATIVO NETO </t>
  </si>
  <si>
    <t>Ajuste por inflación y tenencia de bienes (neto)</t>
  </si>
  <si>
    <t>Diferencia de cambio y mantenimiento de valor (neto)</t>
  </si>
  <si>
    <t>RESULTADO DESPUES DE AJUSTE POR INFLACIÓN DIFERENCIA DE CAMBIO Y MANTENIMIENTO DE VALOR</t>
  </si>
  <si>
    <t xml:space="preserve">Gastos financieros </t>
  </si>
  <si>
    <t xml:space="preserve">RESULTADO NETO DEL EJERCICIO ANTES DE AJUSTE DE GESTIONES ANTERIORES Y RESULTADOS EXTRAORDINARIOS </t>
  </si>
  <si>
    <t xml:space="preserve">Ingreso de gestiones anteriores </t>
  </si>
  <si>
    <t xml:space="preserve">Gastos de gestiones anteriores </t>
  </si>
  <si>
    <t xml:space="preserve">Total pasivo no corriente </t>
  </si>
  <si>
    <t xml:space="preserve">NOTAS A LOS ESTADOS FINANCIEROS </t>
  </si>
  <si>
    <t>NOTA 3 - DISPONIBILIDADES</t>
  </si>
  <si>
    <t>Efectivo en caja</t>
  </si>
  <si>
    <t xml:space="preserve">Efectivo en bancos </t>
  </si>
  <si>
    <t>Total</t>
  </si>
  <si>
    <t>NOTA 4 - CUENTAS POR COBRAR COMERCIALES</t>
  </si>
  <si>
    <t>CORRIENTE</t>
  </si>
  <si>
    <t>CUENTAS A COBRAR EN Bolivia</t>
  </si>
  <si>
    <t xml:space="preserve">Cheques rechazados </t>
  </si>
  <si>
    <t>Cobradores móviles</t>
  </si>
  <si>
    <t>Cuentas por cobrar del exterior</t>
  </si>
  <si>
    <t>NO CORRIENTE</t>
  </si>
  <si>
    <t xml:space="preserve">Cuentas a cobrar en Bolivia </t>
  </si>
  <si>
    <t>Revición para deudas incobrables</t>
  </si>
  <si>
    <t xml:space="preserve">Total cuentas por cobrar comerciales </t>
  </si>
  <si>
    <t>NOTA 5 - OTRAS CUENTAS POR COBRAR</t>
  </si>
  <si>
    <t>Fondos cedidos BNB Valores</t>
  </si>
  <si>
    <t>Cuentas por cobrar accionistas</t>
  </si>
  <si>
    <t xml:space="preserve">Otras cuentas por cobrar </t>
  </si>
  <si>
    <t xml:space="preserve">NOTA 6 -  PAGOS ANTICIPADOS </t>
  </si>
  <si>
    <t>Anticipos al personal</t>
  </si>
  <si>
    <t>Anticipos a proveedores</t>
  </si>
  <si>
    <t>Anticipos de aportes Instituto Bolivianos de Nefrología</t>
  </si>
  <si>
    <t xml:space="preserve">IVA diferido </t>
  </si>
  <si>
    <t>Anticipo impuestos a las transacciones</t>
  </si>
  <si>
    <t xml:space="preserve">NOTA 7 - INVENTARIOS </t>
  </si>
  <si>
    <t xml:space="preserve">Corriente </t>
  </si>
  <si>
    <t xml:space="preserve">No corriente </t>
  </si>
  <si>
    <t>Corriente</t>
  </si>
  <si>
    <t>Materia prima</t>
  </si>
  <si>
    <t xml:space="preserve">Materia de presentación </t>
  </si>
  <si>
    <t>Productos en proceso</t>
  </si>
  <si>
    <t>Productos semielaborados</t>
  </si>
  <si>
    <t>Productos terminados, mercadería en general y nuestras médicas</t>
  </si>
  <si>
    <t>Material y reactivos de laboratorio</t>
  </si>
  <si>
    <t>Repuestos</t>
  </si>
  <si>
    <t>Inventario para destrucción</t>
  </si>
  <si>
    <t>Sub-total</t>
  </si>
  <si>
    <t xml:space="preserve">Previsión por obsolescencia </t>
  </si>
  <si>
    <t>Sub - total</t>
  </si>
  <si>
    <t>Materiales en tránsito (*)</t>
  </si>
  <si>
    <t>Inversiones Inti Perú S.A.C.</t>
  </si>
  <si>
    <t>Acciones en Banco BISA S.A. y en BISA Seguros y Reaseguros S.A.</t>
  </si>
  <si>
    <t>Certificado de aportación en cooperativas telefónicas</t>
  </si>
  <si>
    <t xml:space="preserve">Inmueble neto de depreciación - Perú </t>
  </si>
  <si>
    <t xml:space="preserve">Inmueble neto de depreciación  - Paraguay </t>
  </si>
  <si>
    <t>Instituto Boliviano de Nefrologia S.R.L.</t>
  </si>
  <si>
    <t>NOTA 9 - ACTIVO FIJO</t>
  </si>
  <si>
    <t>Valores originales</t>
  </si>
  <si>
    <t>Depreciaciones acumuladas</t>
  </si>
  <si>
    <t>Prevision por desvalorización</t>
  </si>
  <si>
    <t>Valores netos</t>
  </si>
  <si>
    <t xml:space="preserve">Terrenos </t>
  </si>
  <si>
    <t xml:space="preserve">Edificios </t>
  </si>
  <si>
    <t>Maquinaria y equipo</t>
  </si>
  <si>
    <t>Vehículos</t>
  </si>
  <si>
    <t>Equipo de computación</t>
  </si>
  <si>
    <t>Muebles y enseres</t>
  </si>
  <si>
    <t xml:space="preserve">Obras en curso </t>
  </si>
  <si>
    <t>Bienes arrendados</t>
  </si>
  <si>
    <t>NOTA 10 - OTROS ACTIVOS</t>
  </si>
  <si>
    <t>Fondos Retenidos</t>
  </si>
  <si>
    <t xml:space="preserve">Licencias </t>
  </si>
  <si>
    <t xml:space="preserve">NOTA 11 - DEUDAS COMERCIALES </t>
  </si>
  <si>
    <t>Acreedores nacionales</t>
  </si>
  <si>
    <t>Pharma Investi S.R.L.</t>
  </si>
  <si>
    <t>Protección a la Salud Asociación Civil</t>
  </si>
  <si>
    <t>Industrias Lara Bisch S.A.</t>
  </si>
  <si>
    <t>La Papelera S.A.</t>
  </si>
  <si>
    <t>Riverijos Ltda.</t>
  </si>
  <si>
    <t>Matriplast S.A.</t>
  </si>
  <si>
    <t>Beiersdorf S.R.L.</t>
  </si>
  <si>
    <t>Merquimia Bolivia S.R.L.</t>
  </si>
  <si>
    <t>Laboratorio Planta Medica S.R.L.</t>
  </si>
  <si>
    <t>Otros menores (compras de bienes y servicios)</t>
  </si>
  <si>
    <t>Acreedores extranjeros:</t>
  </si>
  <si>
    <t>Braun</t>
  </si>
  <si>
    <t>Productos Farmaceuticos</t>
  </si>
  <si>
    <t>Selectchemie</t>
  </si>
  <si>
    <t>Andenex Chemie</t>
  </si>
  <si>
    <t>Nutricia</t>
  </si>
  <si>
    <t>Merck</t>
  </si>
  <si>
    <t>Softtek Renovation Ltda.</t>
  </si>
  <si>
    <t>Savant Pharma S.A.</t>
  </si>
  <si>
    <t>Thinking Steel</t>
  </si>
  <si>
    <t>Otros menores (compra de bienes y servicios)</t>
  </si>
  <si>
    <t>NOTA 12 - OBLIGACIONES FINANCIERA</t>
  </si>
  <si>
    <t xml:space="preserve">Banco Union </t>
  </si>
  <si>
    <t>Banco Bisa</t>
  </si>
  <si>
    <t>Intereses por pagar</t>
  </si>
  <si>
    <t>No corriente</t>
  </si>
  <si>
    <t>NOTA 13 - BONOS Y PAGARES BURSATILES</t>
  </si>
  <si>
    <t>Bonos V</t>
  </si>
  <si>
    <t>Bonos VI</t>
  </si>
  <si>
    <t>Cargos devengados por pagar</t>
  </si>
  <si>
    <t xml:space="preserve">Sub -  total </t>
  </si>
  <si>
    <t>NOTAS 14 - IMPUESTOS Y CARGAS SOCIALES POR PAGAR</t>
  </si>
  <si>
    <t xml:space="preserve">Obligaciones sociales por pagar </t>
  </si>
  <si>
    <t>Obligaciones con el personal</t>
  </si>
  <si>
    <t>Impuestos por pagar</t>
  </si>
  <si>
    <t xml:space="preserve">Inventario Merchandising </t>
  </si>
  <si>
    <t>NOTA 8 - INVERSIONES TEMPORALES O PERMANENTES</t>
  </si>
  <si>
    <t>Pagare Bursatiles</t>
  </si>
  <si>
    <t>Inversiones Financieras</t>
  </si>
  <si>
    <t>Inversiones Permanentes</t>
  </si>
  <si>
    <t>Inversiones financieras</t>
  </si>
  <si>
    <t>Provision en descalorizacion en inversiones Inti Perú S.A.C. (*)</t>
  </si>
  <si>
    <t xml:space="preserve">Anticipo a proveedores a Largo plazo </t>
  </si>
  <si>
    <t>Hansa Ltda.</t>
  </si>
  <si>
    <t>Integradores y consultores</t>
  </si>
  <si>
    <t>3M Chile S.A. - Sucursal Bolivia</t>
  </si>
  <si>
    <t>Editora Hermenda Ltda</t>
  </si>
  <si>
    <t>Bolivian Express Cargo S.R.L.</t>
  </si>
  <si>
    <t>TELECEL S.A.</t>
  </si>
  <si>
    <t>FARMACORP S.A.</t>
  </si>
  <si>
    <t>Research Pharmaceutical Limited</t>
  </si>
  <si>
    <t>Procter &amp; Gamble</t>
  </si>
  <si>
    <t>Galderma Chile Laboratorio Ltda.</t>
  </si>
  <si>
    <t xml:space="preserve">Banco de Credito </t>
  </si>
  <si>
    <t xml:space="preserve">La empresa muestra una liquidez que puede cubrir sus obigaciones tanto a corto y a largo plazo, pero se muestra una caida entre 5 gestiones: en 2020 con 5,52 y al 2024 con 3,70 </t>
  </si>
  <si>
    <t>LA=(AC-INV)/PC</t>
  </si>
  <si>
    <t>LA promedio</t>
  </si>
  <si>
    <t>LI=DISPO/PC</t>
  </si>
  <si>
    <t>LI promedio</t>
  </si>
  <si>
    <t>ID=PT/AT</t>
  </si>
  <si>
    <t>ID promedio</t>
  </si>
  <si>
    <t>INDICE DE DEUDA</t>
  </si>
  <si>
    <t>NOTAS</t>
  </si>
  <si>
    <t xml:space="preserve">15 y 16 </t>
  </si>
  <si>
    <t xml:space="preserve">NOTA 15 Y 16 </t>
  </si>
  <si>
    <t xml:space="preserve">Dividendos por pagar </t>
  </si>
  <si>
    <t>Deudas comerciales</t>
  </si>
  <si>
    <t>TOTAL PASIVO Y PATRIMONIO</t>
  </si>
  <si>
    <t>GANANCIA NETA DEL EJERCICIO ANTES DE IMPUESTOS</t>
  </si>
  <si>
    <t>Impuestos sobre las Utilidades de las Empresas</t>
  </si>
  <si>
    <t xml:space="preserve">Impuestos alas Transacciones </t>
  </si>
  <si>
    <t>Previsión para deudores incobrables</t>
  </si>
  <si>
    <t xml:space="preserve">Previsión por incobrabilidad de aportes por capitalizar </t>
  </si>
  <si>
    <t>Banco de Credito</t>
  </si>
  <si>
    <t>Banco Mercantil Santa Cruz</t>
  </si>
  <si>
    <t>LIQUIDEZ CORRIENTE</t>
  </si>
  <si>
    <t>LIQUIDEZ ACIDA</t>
  </si>
  <si>
    <t>LIQUIDEZ INMEDIATA</t>
  </si>
  <si>
    <t>DETALLE</t>
  </si>
  <si>
    <t>NOTA: Se pone % si es menor a 1</t>
  </si>
  <si>
    <t xml:space="preserve">PARAMETROS </t>
  </si>
  <si>
    <t>&lt;50%</t>
  </si>
  <si>
    <t xml:space="preserve">QUE LA EMPRESA NO TIENE COMPROMETIDA SUS RECURSOS CON TERCERAS PERSONAS </t>
  </si>
  <si>
    <t>&gt;50%</t>
  </si>
  <si>
    <t>QUE LA EMPRESA TIENE COMPROMETIDO SUS RECURSOS CON TERCERAS PERSONAS, RIESGO DE QUIEBRA</t>
  </si>
  <si>
    <t xml:space="preserve">En la empresa Droguería INTI SA, se observa que en la gestión 2020 la compañía mantenía un bajo nivel de compromisos con terceros, representando solo el 37% de sus recursos, pero siendo el mas alto de las gestiones registadas, en los siguientes 2 años este porcentaje ha ido disminuyendo hasta llegar al 30% en 2022. Sin embargo en los ultimos dos años (2023 y 2024) ha ido subiendo quedando con un 35% en la ultima gestión lo que podría representar un riesgo para la empresa si este porcentaje llegará a subir más en las proximas gestiones.
</t>
  </si>
  <si>
    <t>ICI= RO/Intereses</t>
  </si>
  <si>
    <t xml:space="preserve">ICI promedio </t>
  </si>
  <si>
    <t>acuden a la caja que tienen acumulada para pagar los interes de ese año si es que no me alcanza con el que tengo. Si no pago se acumula.</t>
  </si>
  <si>
    <t>Cuantas veces puede pagar los intereses la empresa con su resultado operativo</t>
  </si>
  <si>
    <t>INDICE DE COBERTURA DE INTERES</t>
  </si>
  <si>
    <t>siclico= que sube y baja, comportamiento de una onda</t>
  </si>
  <si>
    <t xml:space="preserve">si la empresa tienen un indice de deuda mas elevado que pasaria con el indice de cobertura de interes normalmente </t>
  </si>
  <si>
    <t xml:space="preserve">R: la cobertura baja normalmente, lo ideal es que suban los 2 </t>
  </si>
  <si>
    <t>si baja mi indice de deuda, mejor cobertura</t>
  </si>
  <si>
    <t>Si es positivo esta aumentando la deuda y esta aumentado la cobertura</t>
  </si>
  <si>
    <t>si baja la deuda, baja la cobertura y esta super mal</t>
  </si>
  <si>
    <t>aumenta deuda, mejora covertura</t>
  </si>
  <si>
    <t xml:space="preserve">Lo minimo que puede estar es 1, si es menor que 1 no puede pagar sus interes con sus resultados operativos </t>
  </si>
  <si>
    <t xml:space="preserve">Si se esta apegando mucho el 1, se esta acercando al riesgo financiero. Lo ideal es que nos alejemos del 1 </t>
  </si>
  <si>
    <t>Si tengo muchas dedudas no tengo riesgo financiero si es que tengo mejor covertura (hay que ver la capacidad de pago)</t>
  </si>
  <si>
    <t>Aumenta el riesgo si baja la cobertura</t>
  </si>
  <si>
    <t>INDICE DE CALIDAD DE DEUDA</t>
  </si>
  <si>
    <t>ICD=PC/PT</t>
  </si>
  <si>
    <t>ICD PROMEDIO</t>
  </si>
  <si>
    <t>si una empresa tiene menos concentracion de deuda a corto plazo, que pasa con la liquidez fuente</t>
  </si>
  <si>
    <t xml:space="preserve">R: deberia de bajar </t>
  </si>
  <si>
    <t xml:space="preserve">la liquidez se estresa tiene mucha deuda </t>
  </si>
  <si>
    <t xml:space="preserve">menos concentracion de deuda </t>
  </si>
  <si>
    <t>si sale -1 esta perfectamente negativa</t>
  </si>
  <si>
    <t xml:space="preserve">ESTA BIEN, PERO SU CORRELACION ES DEBIL </t>
  </si>
  <si>
    <t xml:space="preserve">correlacion inversa </t>
  </si>
  <si>
    <t xml:space="preserve">si sale positivo quiere decir que aumenta la deuda a corto plazo, esa empresa tiene mas liquidez </t>
  </si>
  <si>
    <t>la liquidez no se encuentra muy clara o explicado por la composicion de deuda corto  largo</t>
  </si>
  <si>
    <t>Correlación debil negativo</t>
  </si>
  <si>
    <t>EN LA GESTION 2024, LA EMPRESA PRESENTA UN INDICE DE LIQUIDEZ DE 3.52, LO QUE INDICA QUE POR CADA BOLIVIANO DE DEUDA A CORTO PLAZO DISPONE DE 3.52 BS EN ACTIVOS LIQUIDOS PARA HACER FRENTE A SUS OBLIGACIONES INMEDIATAS. SE OBSERVA EN LA GESTION 2021 Y 2022 QUE LA LIQUIDEZ ACIDA FUE DE 4.92 Y 4.56 LO QUE REFLEJA QUE EN ESOS PERIODOS EXISTIA UNA MAYOR CAPACIDAD DE PAGO.</t>
  </si>
  <si>
    <t>La empresa Drogueria Inti S.A. es capaz de cubrir el 0,62 de sus deudas a corto plazo si tuviera que liquidarse con su efectivo liquido, siendo este el mas bajo ya que en la gestion 2023 fue capaz de cubrir sus deudas a corto plazo en un 0,91 , sufriendo un decaimiento en comparacion a las gestiones anteriores ya que en 2022 era capaz de cubrir sus deudas corrientes 2.30 veces, en 2021 cubriria 2.21 veces y en la gestion 2020 cubriria en 1.21 vece sus deudas corrientes</t>
  </si>
  <si>
    <t>La empresa droguería INTI, en la gestión 2024 presnta un índice de 3,88 puntos. Em 2023, el índice aumenta en 9,81 puntos. En 2022, el índice disminuye en 5,81 puntos. El 2021 disminuye un poco en 5,30 puntos. Por último, en 2020 se llegó a tener un índice de 3,19 puntos, siendo el índice de cobertura de interés más bajo en los últimos cinco años.</t>
  </si>
  <si>
    <t>La empresa Drogueria Inti en la gestion 2024 solvento sus operaciones con un 44% de deuda corriente al igual que en la gestion 2022, mientras que en la gestion 2023 presento un pico menor de endeudamiento a corto plazo con un 40% al igual que la gestion 2021 que presento un 42% mientras que en la gestion 2020 en medio de la pandemia tuvo el pico de endeudamiento mas alto a corto plazo con un 48%</t>
  </si>
  <si>
    <t>Detalle</t>
  </si>
  <si>
    <t>Rat= V/AT</t>
  </si>
  <si>
    <t>Promedio</t>
  </si>
  <si>
    <t>ROTACIÓN DE ACTIVO TOTAL</t>
  </si>
  <si>
    <t>Por cada bs invertido en los activo, ese activo me genera 0,67 activo en ventas</t>
  </si>
  <si>
    <t>mientras mas elevado sea este numero es mejor, si la rotacion de activo aumenta</t>
  </si>
  <si>
    <t>Es decreciente entonces la rentabilidad esta disminuyendo de alguna manera</t>
  </si>
  <si>
    <t>la rentabilidad deberia aumentar, se mueven en el mismo sentido</t>
  </si>
  <si>
    <t>PERIODO PROMEDIO DE COBRO</t>
  </si>
  <si>
    <t>PPC= 360/(V/C*C)</t>
  </si>
  <si>
    <t>PPCC promedio</t>
  </si>
  <si>
    <t>Cuantos dias de promerio, la empresa recupera sus ventas a credito</t>
  </si>
  <si>
    <t>las cifras se leen en dias</t>
  </si>
  <si>
    <t>que es bueno para el flujo de caja? Que sea menos dias</t>
  </si>
  <si>
    <t xml:space="preserve">si una empresa demora poco en cobrar es mejor para la caja, genera mas flujo </t>
  </si>
  <si>
    <t xml:space="preserve">si demora en cobrar se afecta el flujo, la inversion </t>
  </si>
  <si>
    <t xml:space="preserve">por que una empresa aumenta su tiempo de cobro? Aumenta la venta de credito aumenta los dias, </t>
  </si>
  <si>
    <t>si la empresa hubiera flexibilizado sus politicas de credito</t>
  </si>
  <si>
    <t xml:space="preserve">exista una politica de credito y ignoren esas politicas </t>
  </si>
  <si>
    <t>Es eficiente en las cuentas por cobrar? NO</t>
  </si>
  <si>
    <t>un ciclo de un negocio ganadero no es mensual, sino trimestral</t>
  </si>
  <si>
    <t>PERIODO PROMEDIO DE INVENTARIO</t>
  </si>
  <si>
    <t>PPI=360/(CV/INV)</t>
  </si>
  <si>
    <t>PPI promedio</t>
  </si>
  <si>
    <t xml:space="preserve">periodo promedio de cobro es depende del ciclo del cliente </t>
  </si>
  <si>
    <t>Cuanto tiempo la empresa demora en vender su inventario</t>
  </si>
  <si>
    <t xml:space="preserve">si la empresa demora en el periodo se afecta el flujo, afecta la rentabilidad e igual que el dinero no esta en movimiento </t>
  </si>
  <si>
    <t xml:space="preserve">el numero sea decreciente, ya que se lee las cifras en dias </t>
  </si>
  <si>
    <t>periodo de inventaro de una empresa de pan deberia ser 1 dia</t>
  </si>
  <si>
    <t xml:space="preserve">por que se ve eso? Puede ser interno o externo, externo que paso en el macro entorno si sea el politico, social o economico </t>
  </si>
  <si>
    <t xml:space="preserve">no roten como deberian </t>
  </si>
  <si>
    <t>micro interno puede ser que la empresa lo hace bien, pero la competencia lo hace mejor</t>
  </si>
  <si>
    <t>PPP=360/CV/C*P)</t>
  </si>
  <si>
    <t>PPP promedio</t>
  </si>
  <si>
    <t>PERIODO PROMEDIO DE PAGO</t>
  </si>
  <si>
    <t>Cuanto tiempo demora en pagar a sus proveedores</t>
  </si>
  <si>
    <t xml:space="preserve">deberia de demorar en pagar mucho mejor, pero deberia negociar </t>
  </si>
  <si>
    <t>es buenas para las finanzas y buenas para mis finanzas a largo plazo</t>
  </si>
  <si>
    <t>s ese indicador aumenta no es buena señal o hubiera negociado</t>
  </si>
  <si>
    <t>porque no quiere y porque no puede</t>
  </si>
  <si>
    <t>si la empresa tiene mucha liquidez: es porque no quiere, por problemas en el proceso</t>
  </si>
  <si>
    <t>HAY QUE VER SI PORQUE NO QUIERE O PORQUE NO QUIERE</t>
  </si>
  <si>
    <t>Se</t>
  </si>
  <si>
    <t>Se esta comprometiendo en lo largo si noquiere pagar</t>
  </si>
  <si>
    <t>ANALISIS DE MARGENES</t>
  </si>
  <si>
    <t>MB=UB/V</t>
  </si>
  <si>
    <t xml:space="preserve">MB promedio </t>
  </si>
  <si>
    <t>MO= RO/V</t>
  </si>
  <si>
    <t xml:space="preserve">MO promedio </t>
  </si>
  <si>
    <t>MARGEN OPERATIVO</t>
  </si>
  <si>
    <t>MARGEN BRUTO</t>
  </si>
  <si>
    <t xml:space="preserve">Margen es lo que me queda </t>
  </si>
  <si>
    <t xml:space="preserve">bruto es lo que le queda a la empresa despues de cubrir sus costos de ventas </t>
  </si>
  <si>
    <t>Es bueno que crezca</t>
  </si>
  <si>
    <t>de cada 100 que vendes paga su costos y se queda con 52%</t>
  </si>
  <si>
    <t xml:space="preserve">si baja </t>
  </si>
  <si>
    <t>precio de venta</t>
  </si>
  <si>
    <t>costo variable unitario</t>
  </si>
  <si>
    <t>costos fijo</t>
  </si>
  <si>
    <t>volumen d venta</t>
  </si>
  <si>
    <t>descuento</t>
  </si>
  <si>
    <t>Bs/unidad</t>
  </si>
  <si>
    <t>bs/unidad</t>
  </si>
  <si>
    <t>bs/mes</t>
  </si>
  <si>
    <t>unidades/mes</t>
  </si>
  <si>
    <t xml:space="preserve">ingreso bruto </t>
  </si>
  <si>
    <t xml:space="preserve">menos decuento </t>
  </si>
  <si>
    <t>ingreso neto</t>
  </si>
  <si>
    <t>costo de venta</t>
  </si>
  <si>
    <t>utilidad bruta</t>
  </si>
  <si>
    <t>gastos operativos</t>
  </si>
  <si>
    <t xml:space="preserve">resultado operativo </t>
  </si>
  <si>
    <t>A</t>
  </si>
  <si>
    <t>B</t>
  </si>
  <si>
    <t xml:space="preserve">el volumen no afecta al margen, sino al operativo </t>
  </si>
  <si>
    <t xml:space="preserve">si sube el precio, aumenta el bruto </t>
  </si>
  <si>
    <t xml:space="preserve">margen oper es lo que nos queda despues costo de venta y gastos operativos </t>
  </si>
  <si>
    <t>una mejora en el operativo si aumenta el precio</t>
  </si>
  <si>
    <t xml:space="preserve">bruto, cambios en el precio, costos y polita de descuento </t>
  </si>
  <si>
    <t xml:space="preserve">ir a notas y sacar el bruto y el descuento para el analisis </t>
  </si>
  <si>
    <t xml:space="preserve">si aumentamos descuento matamos el margen bruto </t>
  </si>
  <si>
    <t xml:space="preserve">las perdidas de margen (descuento) debe ser recopensada con volumen de ventas </t>
  </si>
  <si>
    <t xml:space="preserve">si el area comercial me dice propongo un descuento </t>
  </si>
  <si>
    <t xml:space="preserve">cuanto volumen de venta de mercado deberia de ver para que no muera el margen operativo </t>
  </si>
  <si>
    <t>cuales son las ventas de equilibrio, cato es lo minimo que deberia vender el area comercial para que no afecte mi margen operativo, mi rentabilidad</t>
  </si>
  <si>
    <t>UNIDAD</t>
  </si>
  <si>
    <t>MB</t>
  </si>
  <si>
    <t>MO</t>
  </si>
  <si>
    <t xml:space="preserve">LAS PERDIDAS DE MARGEN DEBEN SER COMPENSADAS CON VOLUMEN </t>
  </si>
  <si>
    <t xml:space="preserve">DE VENTAS </t>
  </si>
  <si>
    <t>SI EL MARGEN BRUTO CAE, POR AHÍ ES ESTRATEGICO, DEBERIA SUBIR EL OPERATIVO</t>
  </si>
  <si>
    <t>PERO SI CAEN AMBOS ESTA MUY MAL</t>
  </si>
  <si>
    <t xml:space="preserve">MARGEN BRUTO es negativo si el costo esta encima del precio de venta </t>
  </si>
  <si>
    <t xml:space="preserve">el negocio genera margen bruto, tiene que ser positivo siempre </t>
  </si>
  <si>
    <t>pero puede ser negativo cuando el sector que analisis es tomador de precio</t>
  </si>
  <si>
    <t>osea que el precio no lo define la empresa sino el mercado internacional</t>
  </si>
  <si>
    <t xml:space="preserve">LAS EMPRESAS MANEJAN PORTAFOLIOS DE PRODUCTOS </t>
  </si>
  <si>
    <t xml:space="preserve">COSTO ESTA ENCIMA DEL PRECIO, ESTRATEGIA DE PLATOS </t>
  </si>
  <si>
    <t xml:space="preserve">PRECIO BAJO PERO COMPRA VARIOS </t>
  </si>
  <si>
    <t>PUEDE SER NEGATIVO A NIVEL DE PRODUCTO POR ESTRATEGIA DE LA EMPRESA (MARGEN BRUTO)</t>
  </si>
  <si>
    <t>DESPUES DE HABER PAGADO EL COSTO DE VENTA Y LOS GASTOS OPERATIVOS TIENENUNA GANANCIA DE 10% 2024</t>
  </si>
  <si>
    <t>SI BAJA EL MARGEN BRUTO, NO NECESARIAMENTE TIENE QUE BAJAR EL MARGEN OPERATIVO</t>
  </si>
  <si>
    <t>MN=UN/V</t>
  </si>
  <si>
    <t xml:space="preserve">MN promedio </t>
  </si>
  <si>
    <t>MARGEN NETO</t>
  </si>
  <si>
    <t xml:space="preserve">EL MARGEN NETO ES DESPUES DE PAGAR EL COSTO DE VENTA, GASTO OPE, INTERES, IMPUESTO Y LO QUE SOBRA ES PARA EL EMPRESARIO </t>
  </si>
  <si>
    <t>MIENTRAS MAS SEA EL MARGEN NETO MEJOR ES PARA EL EMPRESARIO</t>
  </si>
  <si>
    <t xml:space="preserve">AL MARGEN NETO LE AFECTA LA DEUDA </t>
  </si>
  <si>
    <t>CUANDO CAE EL MARGEN EL INDICE DE DEUDA HA AUMENTADO</t>
  </si>
  <si>
    <t>SI PAGAMOS MAS INTERESES NOS COMEMOS EL MARGEN NETO</t>
  </si>
  <si>
    <t xml:space="preserve">LIQUIDEZ CORREINTE: </t>
  </si>
  <si>
    <t>capacidad de una empresa para pagar sus deudas de corto plazo (es decir aquellas que vencen en menos de un año)</t>
  </si>
  <si>
    <r>
      <t>Mayor a 1</t>
    </r>
    <r>
      <rPr>
        <sz val="11"/>
        <color theme="1"/>
        <rFont val="Calibri"/>
        <scheme val="minor"/>
      </rPr>
      <t>: la empresa tiene más activos de corto plazo que deudas de corto plazo → buena señal.</t>
    </r>
  </si>
  <si>
    <r>
      <t>Igual a 1</t>
    </r>
    <r>
      <rPr>
        <sz val="11"/>
        <color theme="1"/>
        <rFont val="Calibri"/>
        <scheme val="minor"/>
      </rPr>
      <t>: la empresa justo alcanza a cubrir sus deudas con sus activos.</t>
    </r>
  </si>
  <si>
    <r>
      <t>Menor a 1</t>
    </r>
    <r>
      <rPr>
        <sz val="11"/>
        <color theme="1"/>
        <rFont val="Calibri"/>
        <scheme val="minor"/>
      </rPr>
      <t>: la empresa podría tener problemas para cumplir con sus obligaciones a corto plazo → señal de alerta.</t>
    </r>
  </si>
  <si>
    <t>mide la capacidad de una empresa para pagar sus deudas de corto plazo, pero demanera mas estricta que la liquidez corriente</t>
  </si>
  <si>
    <t>mas estricta porque excluye los inventarios de los activos corrientes, ya que estos pueden tardas mas en convertierse en efectivo</t>
  </si>
  <si>
    <r>
      <t>Mayor a 1</t>
    </r>
    <r>
      <rPr>
        <sz val="11"/>
        <color theme="1"/>
        <rFont val="Calibri"/>
        <family val="2"/>
        <scheme val="minor"/>
      </rPr>
      <t>: la empresa puede cubrir sus deudas a corto plazo sin vender inventarios → buena salud financiera.</t>
    </r>
  </si>
  <si>
    <r>
      <t>Menor a 1</t>
    </r>
    <r>
      <rPr>
        <sz val="11"/>
        <color theme="1"/>
        <rFont val="Calibri"/>
        <family val="2"/>
        <scheme val="minor"/>
      </rPr>
      <t>: podría tener dificultades para pagar sus deudas si no puede vender rápidamente sus inventarios</t>
    </r>
  </si>
  <si>
    <t>LIQUIDEZ ACIDA:</t>
  </si>
  <si>
    <t>LIQUIDEZ INMEDIATA:</t>
  </si>
  <si>
    <t>es el indicador mas conservador de los 3 porque solo considera los activos mas liquidos: el efectivo y equivalentes de efectivo.</t>
  </si>
  <si>
    <t xml:space="preserve">muestra cuanto efectivo disponible tiene una empresa para pagar sus deudas de corto plazo de forma inmediata, sin necesidad </t>
  </si>
  <si>
    <t xml:space="preserve">de vender inventarios ni esperar a que le paguen los clientes </t>
  </si>
  <si>
    <r>
      <t>Mayor a 1</t>
    </r>
    <r>
      <rPr>
        <sz val="11"/>
        <color theme="1"/>
        <rFont val="Calibri"/>
        <family val="2"/>
        <scheme val="minor"/>
      </rPr>
      <t>: la empresa puede pagar sus deudas a corto plazo solo con el efectivo que tiene → excelente posición de liquidez.</t>
    </r>
  </si>
  <si>
    <r>
      <t>Igual a 1</t>
    </r>
    <r>
      <rPr>
        <sz val="11"/>
        <color theme="1"/>
        <rFont val="Calibri"/>
        <family val="2"/>
        <scheme val="minor"/>
      </rPr>
      <t>: puede cubrir justo sus deudas con el efectivo disponible.</t>
    </r>
  </si>
  <si>
    <r>
      <t>Menor a 1</t>
    </r>
    <r>
      <rPr>
        <sz val="11"/>
        <color theme="1"/>
        <rFont val="Calibri"/>
        <family val="2"/>
        <scheme val="minor"/>
      </rPr>
      <t>: puede necesitar vender activos o cobrar cuentas por cobrar para cubrir sus obligaciones → no es necesariamente malo, pero hay que vigilarlo.</t>
    </r>
  </si>
  <si>
    <t>RENTABILIDAD SOBRE LOS ACTIVOS</t>
  </si>
  <si>
    <t>ROA= RN/AT</t>
  </si>
  <si>
    <t>ROA promedio</t>
  </si>
  <si>
    <t>Es rentable cuando el ROA es positivo</t>
  </si>
  <si>
    <t>POR CADA BOLIVIANA QUE INVIERTE TIENE UNA GANANCIA DE 6%</t>
  </si>
  <si>
    <t xml:space="preserve">mientras mas arto, mejor </t>
  </si>
  <si>
    <t xml:space="preserve">es o no es rentableen tanto a sus activos </t>
  </si>
  <si>
    <t>ROE=RN/PT</t>
  </si>
  <si>
    <t>RENTABILIDAD SOBRE EL PATRIMONIO</t>
  </si>
  <si>
    <t>ROE promedio</t>
  </si>
  <si>
    <t>cuanto es la rentabilidad del dueño</t>
  </si>
  <si>
    <t>por cada boliviano que invierte el dueño, va a ganar 10% (ganancia)</t>
  </si>
  <si>
    <t xml:space="preserve">la rentabilidad siempre mide, entre un resultado y un esfuerzo </t>
  </si>
  <si>
    <t>resultado sobre esfuerzo, esfuerzo del dueño (patrimnio)</t>
  </si>
  <si>
    <t>siempre la rentabilidad tiene que ser un cociente</t>
  </si>
  <si>
    <t xml:space="preserve">Si la utilidad de una empresa es creciente </t>
  </si>
  <si>
    <t xml:space="preserve">RN </t>
  </si>
  <si>
    <t>AT</t>
  </si>
  <si>
    <t>ROA</t>
  </si>
  <si>
    <t>ha decredio, no crecido</t>
  </si>
  <si>
    <t>puede ser que la empresa disminuya su utilidad, y se de cuenta que tiene activo que no tiene una funcion en la empresa</t>
  </si>
  <si>
    <t>para ser mas rentable o auamenta la rentabilidad o reduce la inversion (menos activos)</t>
  </si>
  <si>
    <t>hacer mas activos generar mayor rentabilidad</t>
  </si>
  <si>
    <t>ANALISIS DUPONT</t>
  </si>
  <si>
    <t xml:space="preserve">es una herramienta que respuesta la pregunta: LA RENTABILIDAD DE DONDE VIENE </t>
  </si>
  <si>
    <t xml:space="preserve">UNA EMPRESA PUEDE SER RENTABLE </t>
  </si>
  <si>
    <t>MN=RN/V</t>
  </si>
  <si>
    <t>RAT=V/AT</t>
  </si>
  <si>
    <t>QUE QUEDA CON ESA MULTIPLICACION</t>
  </si>
  <si>
    <t>lo que nos queda depsues de pagar la deuda</t>
  </si>
  <si>
    <t>la rentabilidad puede venir de 2 factores importantes: el margen y la rotacion</t>
  </si>
  <si>
    <t>rotacion=mucho volumen de ventas</t>
  </si>
  <si>
    <t>ej: las comidas afuera de las uni publicas</t>
  </si>
  <si>
    <t>ej: un restaurante del ventura</t>
  </si>
  <si>
    <t>estrategia liderazgo en costos: costos bajos, precio bajos y apuestas a volumen</t>
  </si>
  <si>
    <t>estrategias genericas de dupont</t>
  </si>
  <si>
    <t>estrategia de liderazgo en costos y estrategia de diferenciacion: apunta al margen</t>
  </si>
  <si>
    <t xml:space="preserve">cuando expliquemos el ROA tienen en explicarlo apoyarlo al dupont </t>
  </si>
  <si>
    <t>porque sube o porque baja</t>
  </si>
  <si>
    <t>Multiplicador del Aplancamiento= AT/Patri.</t>
  </si>
  <si>
    <t>si el m. de apalancamiento es 1 no tiene pasivo</t>
  </si>
  <si>
    <t>mientras ese numero sea mas grande tiene mas deuda</t>
  </si>
  <si>
    <t xml:space="preserve">si tiene 2 significa que la empresa tiene mitad deuda mitad patrimnio </t>
  </si>
  <si>
    <t>la empresa tiene mas deuda que patrimnio</t>
  </si>
  <si>
    <t>ROA=RN/AT</t>
  </si>
  <si>
    <t>ROE=RN/AT</t>
  </si>
  <si>
    <t>la fiderenia del roa y roe es el apalancamiento</t>
  </si>
  <si>
    <t>aumento el margen, aumento la eficiencia, pese aque el apalancamiento a decrecido</t>
  </si>
  <si>
    <t>margen, eficiencia y apalancamiento</t>
  </si>
  <si>
    <t xml:space="preserve">afectan la rentabilidad de una empresa es: </t>
  </si>
  <si>
    <t>ANALISIS VERTICAL</t>
  </si>
  <si>
    <t xml:space="preserve">para identificar las cuentas que son mas importantes/ relevantes </t>
  </si>
  <si>
    <t>ANALISIS HORIZONTAL</t>
  </si>
  <si>
    <t>2021/2020</t>
  </si>
  <si>
    <t>2022/2021</t>
  </si>
  <si>
    <t>2023/2022</t>
  </si>
  <si>
    <t>2024/2023</t>
  </si>
  <si>
    <t>margen</t>
  </si>
  <si>
    <t xml:space="preserve">eficiencia </t>
  </si>
  <si>
    <t>apalancamiento</t>
  </si>
  <si>
    <t xml:space="preserve">La empresa Drogueria Inti S.A. en la gestión 2024 la rentabilidad disminuyo con respecto a sus anteriores gestiones, debido a que el margen disminuyo a un 9,25% a pesar de que hubo un incremento en las ventas y en los otros ingresos, y el apalancamiento se mantuvo. La empresa presento una administración ineficiente ya que los gastos de comercialización y financieros fueron el factor crucial para que el margen disminuyera ya que paso de -8,65 paso a 14,63 afectando un 34,58% al margen </t>
  </si>
  <si>
    <t>el apalancamiento crece</t>
  </si>
  <si>
    <t xml:space="preserve">ANALISIS DE RENTABILIDAD Y LIQUIDEZ CORRIENTE </t>
  </si>
  <si>
    <t>PRESENTACION DE 15 MIN</t>
  </si>
  <si>
    <t>DEBE ESTAR SUSTENTADA EN NUMEROS</t>
  </si>
  <si>
    <t xml:space="preserve">Activo fijo neto </t>
  </si>
  <si>
    <t xml:space="preserve">Activo Fijo Bruto </t>
  </si>
  <si>
    <t>Depreciacion acumulada</t>
  </si>
  <si>
    <t xml:space="preserve">DETALLE </t>
  </si>
  <si>
    <t xml:space="preserve">UTILIDAD NETA AJUSTADA </t>
  </si>
  <si>
    <t xml:space="preserve">MAS: DEPRECIACION </t>
  </si>
  <si>
    <t>FEO</t>
  </si>
  <si>
    <t>MENOS: 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</si>
</sst>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b/>
      <sz val="9"/>
      <color indexed="81"/>
      <name val="Tahoma"/>
      <charset val="1"/>
    </font>
    <font>
      <sz val="9"/>
      <color indexed="81"/>
      <name val="Tahoma"/>
      <family val="2"/>
    </font>
    <font>
      <b/>
      <sz val="9"/>
      <color indexed="81"/>
      <name val="Tahoma"/>
      <family val="2"/>
    </font>
    <font>
      <sz val="9"/>
      <color indexed="81"/>
      <name val="Tahoma"/>
      <charset val="1"/>
    </font>
    <font>
      <b/>
      <sz val="11"/>
      <color theme="1"/>
      <name val="Calibri"/>
      <scheme val="minor"/>
    </font>
  </fonts>
  <fills count="9">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249977111117893"/>
        <bgColor indexed="64"/>
      </patternFill>
    </fill>
    <fill>
      <patternFill patternType="solid">
        <fgColor theme="5" tint="0.39997558519241921"/>
        <bgColor indexed="64"/>
      </patternFill>
    </fill>
  </fills>
  <borders count="7">
    <border>
      <left/>
      <right/>
      <top/>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s>
  <cellStyleXfs count="3">
    <xf numFmtId="0" fontId="0" fillId="0" borderId="0"/>
    <xf numFmtId="164" fontId="12" fillId="0" borderId="0" applyFont="0" applyFill="0" applyBorder="0" applyAlignment="0" applyProtection="0"/>
    <xf numFmtId="9" fontId="12" fillId="0" borderId="0" applyFont="0" applyFill="0" applyBorder="0" applyAlignment="0" applyProtection="0"/>
  </cellStyleXfs>
  <cellXfs count="101">
    <xf numFmtId="0" fontId="0" fillId="0" borderId="0" xfId="0"/>
    <xf numFmtId="2" fontId="0" fillId="0" borderId="0" xfId="0" applyNumberFormat="1"/>
    <xf numFmtId="0" fontId="13" fillId="0" borderId="0" xfId="0" applyFont="1"/>
    <xf numFmtId="0" fontId="11" fillId="0" borderId="0" xfId="0" applyFont="1"/>
    <xf numFmtId="0" fontId="13" fillId="3" borderId="0" xfId="0" applyFont="1" applyFill="1" applyAlignment="1">
      <alignment horizontal="center"/>
    </xf>
    <xf numFmtId="0" fontId="0" fillId="3" borderId="0" xfId="0" applyFill="1"/>
    <xf numFmtId="0" fontId="13" fillId="3" borderId="0" xfId="0" applyFont="1" applyFill="1"/>
    <xf numFmtId="164" fontId="0" fillId="0" borderId="0" xfId="1" applyFont="1"/>
    <xf numFmtId="165" fontId="0" fillId="0" borderId="0" xfId="1" applyNumberFormat="1" applyFont="1"/>
    <xf numFmtId="165" fontId="13" fillId="0" borderId="0" xfId="1" applyNumberFormat="1" applyFont="1"/>
    <xf numFmtId="0" fontId="0" fillId="0" borderId="0" xfId="1" applyNumberFormat="1" applyFont="1"/>
    <xf numFmtId="165" fontId="0" fillId="0" borderId="0" xfId="0" applyNumberFormat="1"/>
    <xf numFmtId="165" fontId="0" fillId="0" borderId="1" xfId="1" applyNumberFormat="1" applyFont="1" applyBorder="1"/>
    <xf numFmtId="165" fontId="11" fillId="0" borderId="1" xfId="1" applyNumberFormat="1" applyFont="1" applyBorder="1"/>
    <xf numFmtId="165" fontId="0" fillId="0" borderId="1" xfId="0" applyNumberFormat="1" applyBorder="1"/>
    <xf numFmtId="0" fontId="0" fillId="0" borderId="1" xfId="0" applyBorder="1"/>
    <xf numFmtId="9" fontId="0" fillId="0" borderId="0" xfId="2" applyFont="1"/>
    <xf numFmtId="0" fontId="0" fillId="0" borderId="0" xfId="0" applyAlignment="1">
      <alignment horizontal="center"/>
    </xf>
    <xf numFmtId="0" fontId="10" fillId="0" borderId="0" xfId="0" applyFont="1"/>
    <xf numFmtId="164" fontId="13" fillId="0" borderId="0" xfId="1" applyFont="1"/>
    <xf numFmtId="164" fontId="11" fillId="0" borderId="0" xfId="1" applyFont="1"/>
    <xf numFmtId="164" fontId="13" fillId="3" borderId="0" xfId="1" applyFont="1" applyFill="1"/>
    <xf numFmtId="0" fontId="13" fillId="0" borderId="0" xfId="1" applyNumberFormat="1" applyFont="1"/>
    <xf numFmtId="0" fontId="11" fillId="0" borderId="0" xfId="1" applyNumberFormat="1" applyFont="1"/>
    <xf numFmtId="0" fontId="10" fillId="0" borderId="0" xfId="1" applyNumberFormat="1" applyFont="1"/>
    <xf numFmtId="165" fontId="0" fillId="0" borderId="0" xfId="1" applyNumberFormat="1" applyFont="1" applyBorder="1"/>
    <xf numFmtId="0" fontId="10" fillId="0" borderId="0" xfId="1" applyNumberFormat="1" applyFont="1" applyAlignment="1">
      <alignment horizontal="right"/>
    </xf>
    <xf numFmtId="0" fontId="13" fillId="3" borderId="0" xfId="1" applyNumberFormat="1" applyFont="1" applyFill="1"/>
    <xf numFmtId="164" fontId="9" fillId="0" borderId="0" xfId="1" applyFont="1"/>
    <xf numFmtId="165" fontId="0" fillId="0" borderId="3" xfId="1" applyNumberFormat="1" applyFont="1" applyBorder="1"/>
    <xf numFmtId="165" fontId="13" fillId="0" borderId="3" xfId="1" applyNumberFormat="1" applyFont="1" applyBorder="1"/>
    <xf numFmtId="165" fontId="13" fillId="0" borderId="2" xfId="1" applyNumberFormat="1" applyFont="1" applyBorder="1"/>
    <xf numFmtId="0" fontId="9" fillId="0" borderId="0" xfId="0" applyFont="1"/>
    <xf numFmtId="165" fontId="13" fillId="0" borderId="1" xfId="1" applyNumberFormat="1" applyFont="1" applyBorder="1" applyAlignment="1">
      <alignment horizontal="left"/>
    </xf>
    <xf numFmtId="165" fontId="13" fillId="0" borderId="1" xfId="1" applyNumberFormat="1" applyFont="1" applyBorder="1"/>
    <xf numFmtId="165" fontId="13" fillId="0" borderId="0" xfId="0" applyNumberFormat="1" applyFont="1"/>
    <xf numFmtId="0" fontId="13" fillId="0" borderId="1" xfId="0" applyFont="1" applyBorder="1"/>
    <xf numFmtId="0" fontId="13" fillId="0" borderId="4" xfId="0" applyFont="1" applyBorder="1"/>
    <xf numFmtId="2" fontId="0" fillId="0" borderId="4" xfId="0" applyNumberFormat="1" applyBorder="1"/>
    <xf numFmtId="2" fontId="0" fillId="0" borderId="0" xfId="2" applyNumberFormat="1" applyFont="1"/>
    <xf numFmtId="0" fontId="13" fillId="5" borderId="0" xfId="0" applyFont="1" applyFill="1" applyAlignment="1">
      <alignment horizontal="center"/>
    </xf>
    <xf numFmtId="0" fontId="8" fillId="0" borderId="0" xfId="0" applyFont="1"/>
    <xf numFmtId="2" fontId="13" fillId="0" borderId="0" xfId="0" applyNumberFormat="1" applyFont="1"/>
    <xf numFmtId="0" fontId="13" fillId="0" borderId="0" xfId="0" applyFont="1" applyAlignment="1">
      <alignment horizontal="center"/>
    </xf>
    <xf numFmtId="0" fontId="7" fillId="0" borderId="0" xfId="0" applyFont="1"/>
    <xf numFmtId="2" fontId="7" fillId="0" borderId="0" xfId="0" applyNumberFormat="1" applyFont="1"/>
    <xf numFmtId="0" fontId="6" fillId="0" borderId="0" xfId="0" applyFont="1"/>
    <xf numFmtId="0" fontId="6" fillId="0" borderId="1" xfId="0" applyFont="1" applyBorder="1"/>
    <xf numFmtId="0" fontId="18" fillId="0" borderId="0" xfId="0" applyFont="1"/>
    <xf numFmtId="0" fontId="5" fillId="0" borderId="0" xfId="0" applyFont="1"/>
    <xf numFmtId="0" fontId="4" fillId="0" borderId="0" xfId="0" applyFont="1"/>
    <xf numFmtId="10" fontId="0" fillId="0" borderId="0" xfId="2" applyNumberFormat="1" applyFont="1"/>
    <xf numFmtId="0" fontId="13" fillId="2" borderId="0" xfId="0" applyFont="1" applyFill="1"/>
    <xf numFmtId="2" fontId="0" fillId="0" borderId="1" xfId="2" applyNumberFormat="1" applyFont="1" applyBorder="1"/>
    <xf numFmtId="0" fontId="4" fillId="0" borderId="1" xfId="0" applyFont="1" applyBorder="1"/>
    <xf numFmtId="2" fontId="0" fillId="0" borderId="1" xfId="0" applyNumberFormat="1" applyBorder="1"/>
    <xf numFmtId="10" fontId="0" fillId="0" borderId="1" xfId="2" applyNumberFormat="1" applyFont="1" applyBorder="1"/>
    <xf numFmtId="10" fontId="13" fillId="0" borderId="0" xfId="2" applyNumberFormat="1" applyFont="1"/>
    <xf numFmtId="10" fontId="13" fillId="0" borderId="2" xfId="2" applyNumberFormat="1" applyFont="1" applyBorder="1"/>
    <xf numFmtId="10" fontId="0" fillId="0" borderId="0" xfId="0" applyNumberFormat="1"/>
    <xf numFmtId="10" fontId="4" fillId="0" borderId="1" xfId="2" applyNumberFormat="1" applyFont="1" applyBorder="1"/>
    <xf numFmtId="10" fontId="13" fillId="0" borderId="5" xfId="2" applyNumberFormat="1" applyFont="1" applyBorder="1"/>
    <xf numFmtId="10" fontId="4" fillId="0" borderId="0" xfId="2" applyNumberFormat="1" applyFont="1" applyBorder="1"/>
    <xf numFmtId="0" fontId="3" fillId="0" borderId="0" xfId="0" applyFont="1"/>
    <xf numFmtId="164" fontId="13" fillId="2" borderId="0" xfId="1" applyFont="1" applyFill="1"/>
    <xf numFmtId="0" fontId="13" fillId="2" borderId="0" xfId="1" applyNumberFormat="1" applyFont="1" applyFill="1"/>
    <xf numFmtId="165" fontId="13" fillId="2" borderId="3" xfId="1" applyNumberFormat="1" applyFont="1" applyFill="1" applyBorder="1"/>
    <xf numFmtId="0" fontId="0" fillId="2" borderId="0" xfId="0" applyFill="1"/>
    <xf numFmtId="10" fontId="13" fillId="2" borderId="2" xfId="2" applyNumberFormat="1" applyFont="1" applyFill="1" applyBorder="1"/>
    <xf numFmtId="10" fontId="13" fillId="2" borderId="5" xfId="2" applyNumberFormat="1" applyFont="1" applyFill="1" applyBorder="1"/>
    <xf numFmtId="10" fontId="0" fillId="6" borderId="0" xfId="2" applyNumberFormat="1" applyFont="1" applyFill="1"/>
    <xf numFmtId="165" fontId="13" fillId="2" borderId="0" xfId="1" applyNumberFormat="1" applyFont="1" applyFill="1"/>
    <xf numFmtId="10" fontId="13" fillId="2" borderId="0" xfId="2" applyNumberFormat="1" applyFont="1" applyFill="1"/>
    <xf numFmtId="10" fontId="13" fillId="2" borderId="0" xfId="2" applyNumberFormat="1" applyFont="1" applyFill="1" applyBorder="1"/>
    <xf numFmtId="164" fontId="2" fillId="0" borderId="0" xfId="1" applyFont="1"/>
    <xf numFmtId="164" fontId="11" fillId="6" borderId="0" xfId="1" applyFont="1" applyFill="1"/>
    <xf numFmtId="164" fontId="9" fillId="6" borderId="0" xfId="1" applyFont="1" applyFill="1"/>
    <xf numFmtId="164" fontId="2" fillId="6" borderId="0" xfId="1" applyFont="1" applyFill="1"/>
    <xf numFmtId="164" fontId="2" fillId="6" borderId="6" xfId="1" applyFont="1" applyFill="1" applyBorder="1"/>
    <xf numFmtId="164" fontId="0" fillId="0" borderId="6" xfId="1" applyFont="1" applyBorder="1"/>
    <xf numFmtId="164" fontId="13" fillId="0" borderId="0" xfId="1" applyFont="1" applyFill="1" applyBorder="1"/>
    <xf numFmtId="0" fontId="13" fillId="0" borderId="6" xfId="0" applyFont="1" applyBorder="1"/>
    <xf numFmtId="164" fontId="0" fillId="0" borderId="0" xfId="0" applyNumberFormat="1"/>
    <xf numFmtId="164" fontId="10" fillId="7" borderId="0" xfId="1" applyFont="1" applyFill="1"/>
    <xf numFmtId="164" fontId="11" fillId="7" borderId="0" xfId="1" applyFont="1" applyFill="1"/>
    <xf numFmtId="164" fontId="2" fillId="7" borderId="0" xfId="1" applyFont="1" applyFill="1"/>
    <xf numFmtId="164" fontId="11" fillId="7" borderId="6" xfId="1" applyFont="1" applyFill="1" applyBorder="1"/>
    <xf numFmtId="164" fontId="11" fillId="8" borderId="0" xfId="1" applyFont="1" applyFill="1"/>
    <xf numFmtId="164" fontId="9" fillId="8" borderId="0" xfId="1" applyFont="1" applyFill="1"/>
    <xf numFmtId="164" fontId="2" fillId="8" borderId="6" xfId="1" applyFont="1" applyFill="1" applyBorder="1"/>
    <xf numFmtId="0" fontId="13" fillId="2" borderId="0" xfId="0" applyFont="1" applyFill="1" applyAlignment="1">
      <alignment horizontal="center"/>
    </xf>
    <xf numFmtId="0" fontId="13" fillId="3" borderId="0" xfId="0" applyFont="1" applyFill="1" applyAlignment="1">
      <alignment horizontal="center"/>
    </xf>
    <xf numFmtId="164" fontId="13" fillId="2" borderId="0" xfId="1" applyFont="1" applyFill="1" applyAlignment="1">
      <alignment horizontal="center"/>
    </xf>
    <xf numFmtId="0" fontId="13" fillId="4" borderId="0" xfId="0" applyFont="1" applyFill="1" applyAlignment="1">
      <alignment horizontal="center"/>
    </xf>
    <xf numFmtId="0" fontId="13" fillId="0" borderId="0" xfId="1" applyNumberFormat="1" applyFont="1" applyAlignment="1">
      <alignment horizontal="center"/>
    </xf>
    <xf numFmtId="0" fontId="13" fillId="0" borderId="0" xfId="0" applyFont="1" applyAlignment="1">
      <alignment horizontal="center"/>
    </xf>
    <xf numFmtId="0" fontId="0" fillId="0" borderId="0" xfId="0" applyAlignment="1">
      <alignment horizontal="center" vertical="center" wrapText="1"/>
    </xf>
    <xf numFmtId="0" fontId="13" fillId="5" borderId="0" xfId="0" applyFont="1" applyFill="1" applyAlignment="1">
      <alignment horizontal="center"/>
    </xf>
    <xf numFmtId="0" fontId="9" fillId="0" borderId="0" xfId="0" applyFont="1" applyAlignment="1">
      <alignment horizontal="center" vertical="top"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customschemas.google.com/relationships/workbookmetadata" Target="metadata"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LIQUIDEZ CORRIENTE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LIQUIDEZ!$B$5</c:f>
              <c:strCache>
                <c:ptCount val="1"/>
                <c:pt idx="0">
                  <c:v>LC=AC/PC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LIQUIDEZ!$C$4:$G$4</c:f>
              <c:numCache>
                <c:formatCode>General</c:formatCode>
                <c:ptCount val="5"/>
                <c:pt idx="0">
                  <c:v>2020</c:v>
                </c:pt>
                <c:pt idx="1">
                  <c:v>2021</c:v>
                </c:pt>
                <c:pt idx="2">
                  <c:v>2022</c:v>
                </c:pt>
                <c:pt idx="3">
                  <c:v>2023</c:v>
                </c:pt>
                <c:pt idx="4">
                  <c:v>2024</c:v>
                </c:pt>
              </c:numCache>
            </c:numRef>
          </c:cat>
          <c:val>
            <c:numRef>
              <c:f>LIQUIDEZ!$C$5:$G$5</c:f>
              <c:numCache>
                <c:formatCode>0.00</c:formatCode>
                <c:ptCount val="5"/>
                <c:pt idx="0">
                  <c:v>3.9327625821135861</c:v>
                </c:pt>
                <c:pt idx="1">
                  <c:v>5.0698992464422519</c:v>
                </c:pt>
                <c:pt idx="2">
                  <c:v>4.8577526006948419</c:v>
                </c:pt>
                <c:pt idx="3">
                  <c:v>3.8901447652142824</c:v>
                </c:pt>
                <c:pt idx="4">
                  <c:v>3.701846203004989</c:v>
                </c:pt>
              </c:numCache>
            </c:numRef>
          </c:val>
          <c:extLst>
            <c:ext xmlns:c16="http://schemas.microsoft.com/office/drawing/2014/chart" uri="{C3380CC4-5D6E-409C-BE32-E72D297353CC}">
              <c16:uniqueId val="{00000000-2848-4029-AC6A-51C09D2A1D6B}"/>
            </c:ext>
          </c:extLst>
        </c:ser>
        <c:dLbls>
          <c:showLegendKey val="0"/>
          <c:showVal val="0"/>
          <c:showCatName val="0"/>
          <c:showSerName val="0"/>
          <c:showPercent val="0"/>
          <c:showBubbleSize val="0"/>
        </c:dLbls>
        <c:gapWidth val="219"/>
        <c:overlap val="-27"/>
        <c:axId val="546852239"/>
        <c:axId val="546855567"/>
      </c:barChart>
      <c:lineChart>
        <c:grouping val="standard"/>
        <c:varyColors val="0"/>
        <c:ser>
          <c:idx val="1"/>
          <c:order val="1"/>
          <c:tx>
            <c:strRef>
              <c:f>LIQUIDEZ!$B$6</c:f>
              <c:strCache>
                <c:ptCount val="1"/>
                <c:pt idx="0">
                  <c:v>LC promedio </c:v>
                </c:pt>
              </c:strCache>
            </c:strRef>
          </c:tx>
          <c:spPr>
            <a:ln w="28575" cap="rnd">
              <a:solidFill>
                <a:schemeClr val="accent2"/>
              </a:solidFill>
              <a:round/>
            </a:ln>
            <a:effectLst/>
          </c:spPr>
          <c:marker>
            <c:symbol val="none"/>
          </c:marker>
          <c:cat>
            <c:numRef>
              <c:f>LIQUIDEZ!$C$4:$G$4</c:f>
              <c:numCache>
                <c:formatCode>General</c:formatCode>
                <c:ptCount val="5"/>
                <c:pt idx="0">
                  <c:v>2020</c:v>
                </c:pt>
                <c:pt idx="1">
                  <c:v>2021</c:v>
                </c:pt>
                <c:pt idx="2">
                  <c:v>2022</c:v>
                </c:pt>
                <c:pt idx="3">
                  <c:v>2023</c:v>
                </c:pt>
                <c:pt idx="4">
                  <c:v>2024</c:v>
                </c:pt>
              </c:numCache>
            </c:numRef>
          </c:cat>
          <c:val>
            <c:numRef>
              <c:f>LIQUIDEZ!$C$6:$G$6</c:f>
              <c:numCache>
                <c:formatCode>0.00</c:formatCode>
                <c:ptCount val="5"/>
                <c:pt idx="0">
                  <c:v>4.2904810794939907</c:v>
                </c:pt>
                <c:pt idx="1">
                  <c:v>4.2904810794939907</c:v>
                </c:pt>
                <c:pt idx="2">
                  <c:v>4.2904810794939907</c:v>
                </c:pt>
                <c:pt idx="3">
                  <c:v>4.2904810794939907</c:v>
                </c:pt>
                <c:pt idx="4">
                  <c:v>4.2904810794939907</c:v>
                </c:pt>
              </c:numCache>
            </c:numRef>
          </c:val>
          <c:smooth val="0"/>
          <c:extLst>
            <c:ext xmlns:c16="http://schemas.microsoft.com/office/drawing/2014/chart" uri="{C3380CC4-5D6E-409C-BE32-E72D297353CC}">
              <c16:uniqueId val="{00000001-2848-4029-AC6A-51C09D2A1D6B}"/>
            </c:ext>
          </c:extLst>
        </c:ser>
        <c:dLbls>
          <c:showLegendKey val="0"/>
          <c:showVal val="0"/>
          <c:showCatName val="0"/>
          <c:showSerName val="0"/>
          <c:showPercent val="0"/>
          <c:showBubbleSize val="0"/>
        </c:dLbls>
        <c:marker val="1"/>
        <c:smooth val="0"/>
        <c:axId val="546852239"/>
        <c:axId val="546855567"/>
      </c:lineChart>
      <c:catAx>
        <c:axId val="54685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6855567"/>
        <c:crosses val="autoZero"/>
        <c:auto val="1"/>
        <c:lblAlgn val="ctr"/>
        <c:lblOffset val="100"/>
        <c:noMultiLvlLbl val="0"/>
      </c:catAx>
      <c:valAx>
        <c:axId val="5468555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685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LIQUIDEZ ACIDA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LIQUIDEZ!$B$28</c:f>
              <c:strCache>
                <c:ptCount val="1"/>
                <c:pt idx="0">
                  <c:v>LA=(AC-INV)/PC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LIQUIDEZ!$C$27:$G$27</c:f>
              <c:numCache>
                <c:formatCode>General</c:formatCode>
                <c:ptCount val="5"/>
                <c:pt idx="0">
                  <c:v>2020</c:v>
                </c:pt>
                <c:pt idx="1">
                  <c:v>2021</c:v>
                </c:pt>
                <c:pt idx="2">
                  <c:v>2022</c:v>
                </c:pt>
                <c:pt idx="3">
                  <c:v>2023</c:v>
                </c:pt>
                <c:pt idx="4">
                  <c:v>2024</c:v>
                </c:pt>
              </c:numCache>
            </c:numRef>
          </c:cat>
          <c:val>
            <c:numRef>
              <c:f>LIQUIDEZ!$C$28:$G$28</c:f>
              <c:numCache>
                <c:formatCode>0.00</c:formatCode>
                <c:ptCount val="5"/>
                <c:pt idx="0">
                  <c:v>3.8231999063868898</c:v>
                </c:pt>
                <c:pt idx="1">
                  <c:v>4.922629764418879</c:v>
                </c:pt>
                <c:pt idx="2">
                  <c:v>4.5627410623914679</c:v>
                </c:pt>
                <c:pt idx="3">
                  <c:v>3.6105058667392598</c:v>
                </c:pt>
                <c:pt idx="4">
                  <c:v>3.5152648681391954</c:v>
                </c:pt>
              </c:numCache>
            </c:numRef>
          </c:val>
          <c:extLst>
            <c:ext xmlns:c16="http://schemas.microsoft.com/office/drawing/2014/chart" uri="{C3380CC4-5D6E-409C-BE32-E72D297353CC}">
              <c16:uniqueId val="{00000000-36C8-45D0-AD81-938BBB87D821}"/>
            </c:ext>
          </c:extLst>
        </c:ser>
        <c:dLbls>
          <c:showLegendKey val="0"/>
          <c:showVal val="0"/>
          <c:showCatName val="0"/>
          <c:showSerName val="0"/>
          <c:showPercent val="0"/>
          <c:showBubbleSize val="0"/>
        </c:dLbls>
        <c:gapWidth val="219"/>
        <c:overlap val="-27"/>
        <c:axId val="1877530720"/>
        <c:axId val="1877515328"/>
      </c:barChart>
      <c:lineChart>
        <c:grouping val="standard"/>
        <c:varyColors val="0"/>
        <c:ser>
          <c:idx val="1"/>
          <c:order val="1"/>
          <c:tx>
            <c:strRef>
              <c:f>LIQUIDEZ!$B$29</c:f>
              <c:strCache>
                <c:ptCount val="1"/>
                <c:pt idx="0">
                  <c:v>LA promedio</c:v>
                </c:pt>
              </c:strCache>
            </c:strRef>
          </c:tx>
          <c:spPr>
            <a:ln w="28575" cap="rnd">
              <a:solidFill>
                <a:schemeClr val="accent2"/>
              </a:solidFill>
              <a:round/>
            </a:ln>
            <a:effectLst/>
          </c:spPr>
          <c:marker>
            <c:symbol val="none"/>
          </c:marker>
          <c:cat>
            <c:numRef>
              <c:f>LIQUIDEZ!$C$27:$G$27</c:f>
              <c:numCache>
                <c:formatCode>General</c:formatCode>
                <c:ptCount val="5"/>
                <c:pt idx="0">
                  <c:v>2020</c:v>
                </c:pt>
                <c:pt idx="1">
                  <c:v>2021</c:v>
                </c:pt>
                <c:pt idx="2">
                  <c:v>2022</c:v>
                </c:pt>
                <c:pt idx="3">
                  <c:v>2023</c:v>
                </c:pt>
                <c:pt idx="4">
                  <c:v>2024</c:v>
                </c:pt>
              </c:numCache>
            </c:numRef>
          </c:cat>
          <c:val>
            <c:numRef>
              <c:f>LIQUIDEZ!$C$29:$G$29</c:f>
              <c:numCache>
                <c:formatCode>0.00</c:formatCode>
                <c:ptCount val="5"/>
                <c:pt idx="0">
                  <c:v>4.0868682936151384</c:v>
                </c:pt>
                <c:pt idx="1">
                  <c:v>4.0868682936151384</c:v>
                </c:pt>
                <c:pt idx="2">
                  <c:v>4.0868682936151384</c:v>
                </c:pt>
                <c:pt idx="3">
                  <c:v>4.0868682936151384</c:v>
                </c:pt>
                <c:pt idx="4">
                  <c:v>4.0868682936151384</c:v>
                </c:pt>
              </c:numCache>
            </c:numRef>
          </c:val>
          <c:smooth val="0"/>
          <c:extLst>
            <c:ext xmlns:c16="http://schemas.microsoft.com/office/drawing/2014/chart" uri="{C3380CC4-5D6E-409C-BE32-E72D297353CC}">
              <c16:uniqueId val="{00000001-36C8-45D0-AD81-938BBB87D821}"/>
            </c:ext>
          </c:extLst>
        </c:ser>
        <c:dLbls>
          <c:showLegendKey val="0"/>
          <c:showVal val="0"/>
          <c:showCatName val="0"/>
          <c:showSerName val="0"/>
          <c:showPercent val="0"/>
          <c:showBubbleSize val="0"/>
        </c:dLbls>
        <c:marker val="1"/>
        <c:smooth val="0"/>
        <c:axId val="1877530720"/>
        <c:axId val="1877515328"/>
      </c:lineChart>
      <c:catAx>
        <c:axId val="18775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7515328"/>
        <c:crosses val="autoZero"/>
        <c:auto val="1"/>
        <c:lblAlgn val="ctr"/>
        <c:lblOffset val="100"/>
        <c:noMultiLvlLbl val="0"/>
      </c:catAx>
      <c:valAx>
        <c:axId val="1877515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7530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Liquidez inmediata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LIQUIDEZ!$B$51</c:f>
              <c:strCache>
                <c:ptCount val="1"/>
                <c:pt idx="0">
                  <c:v>LI=DISPO/PC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LIQUIDEZ!$C$50:$G$50</c:f>
              <c:numCache>
                <c:formatCode>General</c:formatCode>
                <c:ptCount val="5"/>
                <c:pt idx="0">
                  <c:v>2020</c:v>
                </c:pt>
                <c:pt idx="1">
                  <c:v>2021</c:v>
                </c:pt>
                <c:pt idx="2">
                  <c:v>2022</c:v>
                </c:pt>
                <c:pt idx="3">
                  <c:v>2023</c:v>
                </c:pt>
                <c:pt idx="4">
                  <c:v>2024</c:v>
                </c:pt>
              </c:numCache>
            </c:numRef>
          </c:cat>
          <c:val>
            <c:numRef>
              <c:f>LIQUIDEZ!$C$51:$G$51</c:f>
              <c:numCache>
                <c:formatCode>0.00</c:formatCode>
                <c:ptCount val="5"/>
                <c:pt idx="0">
                  <c:v>1.2051394804533488</c:v>
                </c:pt>
                <c:pt idx="1">
                  <c:v>2.2087542839488936</c:v>
                </c:pt>
                <c:pt idx="2">
                  <c:v>2.2995045110205048</c:v>
                </c:pt>
                <c:pt idx="3">
                  <c:v>0.91134613460511005</c:v>
                </c:pt>
                <c:pt idx="4">
                  <c:v>0.62403583341147728</c:v>
                </c:pt>
              </c:numCache>
            </c:numRef>
          </c:val>
          <c:extLst>
            <c:ext xmlns:c16="http://schemas.microsoft.com/office/drawing/2014/chart" uri="{C3380CC4-5D6E-409C-BE32-E72D297353CC}">
              <c16:uniqueId val="{00000000-A1FE-4A05-93E2-ACCA0DA26B59}"/>
            </c:ext>
          </c:extLst>
        </c:ser>
        <c:dLbls>
          <c:showLegendKey val="0"/>
          <c:showVal val="0"/>
          <c:showCatName val="0"/>
          <c:showSerName val="0"/>
          <c:showPercent val="0"/>
          <c:showBubbleSize val="0"/>
        </c:dLbls>
        <c:gapWidth val="219"/>
        <c:overlap val="-27"/>
        <c:axId val="1777139328"/>
        <c:axId val="1777138080"/>
      </c:barChart>
      <c:lineChart>
        <c:grouping val="standard"/>
        <c:varyColors val="0"/>
        <c:ser>
          <c:idx val="1"/>
          <c:order val="1"/>
          <c:tx>
            <c:strRef>
              <c:f>LIQUIDEZ!$B$52</c:f>
              <c:strCache>
                <c:ptCount val="1"/>
                <c:pt idx="0">
                  <c:v>LI promedio</c:v>
                </c:pt>
              </c:strCache>
            </c:strRef>
          </c:tx>
          <c:spPr>
            <a:ln w="28575" cap="rnd">
              <a:solidFill>
                <a:schemeClr val="accent2"/>
              </a:solidFill>
              <a:round/>
            </a:ln>
            <a:effectLst/>
          </c:spPr>
          <c:marker>
            <c:symbol val="none"/>
          </c:marker>
          <c:cat>
            <c:numRef>
              <c:f>LIQUIDEZ!$C$50:$G$50</c:f>
              <c:numCache>
                <c:formatCode>General</c:formatCode>
                <c:ptCount val="5"/>
                <c:pt idx="0">
                  <c:v>2020</c:v>
                </c:pt>
                <c:pt idx="1">
                  <c:v>2021</c:v>
                </c:pt>
                <c:pt idx="2">
                  <c:v>2022</c:v>
                </c:pt>
                <c:pt idx="3">
                  <c:v>2023</c:v>
                </c:pt>
                <c:pt idx="4">
                  <c:v>2024</c:v>
                </c:pt>
              </c:numCache>
            </c:numRef>
          </c:cat>
          <c:val>
            <c:numRef>
              <c:f>LIQUIDEZ!$C$52:$G$52</c:f>
              <c:numCache>
                <c:formatCode>0.00</c:formatCode>
                <c:ptCount val="5"/>
                <c:pt idx="0">
                  <c:v>1.4497560486878669</c:v>
                </c:pt>
                <c:pt idx="1">
                  <c:v>1.4497560486878669</c:v>
                </c:pt>
                <c:pt idx="2">
                  <c:v>1.4497560486878669</c:v>
                </c:pt>
                <c:pt idx="3">
                  <c:v>1.4497560486878669</c:v>
                </c:pt>
                <c:pt idx="4">
                  <c:v>1.4497560486878669</c:v>
                </c:pt>
              </c:numCache>
            </c:numRef>
          </c:val>
          <c:smooth val="0"/>
          <c:extLst>
            <c:ext xmlns:c16="http://schemas.microsoft.com/office/drawing/2014/chart" uri="{C3380CC4-5D6E-409C-BE32-E72D297353CC}">
              <c16:uniqueId val="{00000001-A1FE-4A05-93E2-ACCA0DA26B59}"/>
            </c:ext>
          </c:extLst>
        </c:ser>
        <c:dLbls>
          <c:showLegendKey val="0"/>
          <c:showVal val="0"/>
          <c:showCatName val="0"/>
          <c:showSerName val="0"/>
          <c:showPercent val="0"/>
          <c:showBubbleSize val="0"/>
        </c:dLbls>
        <c:marker val="1"/>
        <c:smooth val="0"/>
        <c:axId val="1777139328"/>
        <c:axId val="1777138080"/>
      </c:lineChart>
      <c:catAx>
        <c:axId val="17771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77138080"/>
        <c:crosses val="autoZero"/>
        <c:auto val="1"/>
        <c:lblAlgn val="ctr"/>
        <c:lblOffset val="100"/>
        <c:noMultiLvlLbl val="0"/>
      </c:catAx>
      <c:valAx>
        <c:axId val="17771380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7713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DEUDA!$B$4</c:f>
              <c:strCache>
                <c:ptCount val="1"/>
                <c:pt idx="0">
                  <c:v>ID=PT/AT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DEUDA!$C$3:$G$3</c:f>
              <c:numCache>
                <c:formatCode>General</c:formatCode>
                <c:ptCount val="5"/>
                <c:pt idx="0">
                  <c:v>2020</c:v>
                </c:pt>
                <c:pt idx="1">
                  <c:v>2021</c:v>
                </c:pt>
                <c:pt idx="2">
                  <c:v>2022</c:v>
                </c:pt>
                <c:pt idx="3">
                  <c:v>2023</c:v>
                </c:pt>
                <c:pt idx="4">
                  <c:v>2024</c:v>
                </c:pt>
              </c:numCache>
            </c:numRef>
          </c:cat>
          <c:val>
            <c:numRef>
              <c:f>DEUDA!$C$4:$G$4</c:f>
              <c:numCache>
                <c:formatCode>0%</c:formatCode>
                <c:ptCount val="5"/>
                <c:pt idx="0">
                  <c:v>0.37021318899976341</c:v>
                </c:pt>
                <c:pt idx="1">
                  <c:v>0.32696194074447937</c:v>
                </c:pt>
                <c:pt idx="2">
                  <c:v>0.30418577658441703</c:v>
                </c:pt>
                <c:pt idx="3">
                  <c:v>0.34444988508467006</c:v>
                </c:pt>
                <c:pt idx="4">
                  <c:v>0.34794999134989857</c:v>
                </c:pt>
              </c:numCache>
            </c:numRef>
          </c:val>
          <c:extLst>
            <c:ext xmlns:c16="http://schemas.microsoft.com/office/drawing/2014/chart" uri="{C3380CC4-5D6E-409C-BE32-E72D297353CC}">
              <c16:uniqueId val="{00000000-A5E4-426D-B8B2-A2B62CD0899A}"/>
            </c:ext>
          </c:extLst>
        </c:ser>
        <c:dLbls>
          <c:showLegendKey val="0"/>
          <c:showVal val="0"/>
          <c:showCatName val="0"/>
          <c:showSerName val="0"/>
          <c:showPercent val="0"/>
          <c:showBubbleSize val="0"/>
        </c:dLbls>
        <c:gapWidth val="219"/>
        <c:overlap val="-27"/>
        <c:axId val="1876484016"/>
        <c:axId val="1876483184"/>
      </c:barChart>
      <c:lineChart>
        <c:grouping val="standard"/>
        <c:varyColors val="0"/>
        <c:ser>
          <c:idx val="1"/>
          <c:order val="1"/>
          <c:tx>
            <c:strRef>
              <c:f>DEUDA!$B$5</c:f>
              <c:strCache>
                <c:ptCount val="1"/>
                <c:pt idx="0">
                  <c:v>ID promedio</c:v>
                </c:pt>
              </c:strCache>
            </c:strRef>
          </c:tx>
          <c:spPr>
            <a:ln w="28575" cap="rnd">
              <a:solidFill>
                <a:schemeClr val="accent2"/>
              </a:solidFill>
              <a:round/>
            </a:ln>
            <a:effectLst/>
          </c:spPr>
          <c:marker>
            <c:symbol val="none"/>
          </c:marker>
          <c:cat>
            <c:numRef>
              <c:f>DEUDA!$C$3:$G$3</c:f>
              <c:numCache>
                <c:formatCode>General</c:formatCode>
                <c:ptCount val="5"/>
                <c:pt idx="0">
                  <c:v>2020</c:v>
                </c:pt>
                <c:pt idx="1">
                  <c:v>2021</c:v>
                </c:pt>
                <c:pt idx="2">
                  <c:v>2022</c:v>
                </c:pt>
                <c:pt idx="3">
                  <c:v>2023</c:v>
                </c:pt>
                <c:pt idx="4">
                  <c:v>2024</c:v>
                </c:pt>
              </c:numCache>
            </c:numRef>
          </c:cat>
          <c:val>
            <c:numRef>
              <c:f>DEUDA!$C$5:$G$5</c:f>
              <c:numCache>
                <c:formatCode>0%</c:formatCode>
                <c:ptCount val="5"/>
                <c:pt idx="0">
                  <c:v>0.33875215655264562</c:v>
                </c:pt>
                <c:pt idx="1">
                  <c:v>0.33875215655264562</c:v>
                </c:pt>
                <c:pt idx="2">
                  <c:v>0.33875215655264562</c:v>
                </c:pt>
                <c:pt idx="3">
                  <c:v>0.33875215655264562</c:v>
                </c:pt>
                <c:pt idx="4">
                  <c:v>0.33875215655264562</c:v>
                </c:pt>
              </c:numCache>
            </c:numRef>
          </c:val>
          <c:smooth val="0"/>
          <c:extLst>
            <c:ext xmlns:c16="http://schemas.microsoft.com/office/drawing/2014/chart" uri="{C3380CC4-5D6E-409C-BE32-E72D297353CC}">
              <c16:uniqueId val="{00000001-A5E4-426D-B8B2-A2B62CD0899A}"/>
            </c:ext>
          </c:extLst>
        </c:ser>
        <c:dLbls>
          <c:showLegendKey val="0"/>
          <c:showVal val="0"/>
          <c:showCatName val="0"/>
          <c:showSerName val="0"/>
          <c:showPercent val="0"/>
          <c:showBubbleSize val="0"/>
        </c:dLbls>
        <c:marker val="1"/>
        <c:smooth val="0"/>
        <c:axId val="1876484016"/>
        <c:axId val="1876483184"/>
      </c:lineChart>
      <c:catAx>
        <c:axId val="18764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6483184"/>
        <c:crosses val="autoZero"/>
        <c:auto val="1"/>
        <c:lblAlgn val="ctr"/>
        <c:lblOffset val="100"/>
        <c:noMultiLvlLbl val="0"/>
      </c:catAx>
      <c:valAx>
        <c:axId val="1876483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648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INDICE DE COBERTURA DE INTERES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DEUDA!$B$27</c:f>
              <c:strCache>
                <c:ptCount val="1"/>
                <c:pt idx="0">
                  <c:v>ICI= RO/Intereses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DEUDA!$C$26:$G$26</c:f>
              <c:numCache>
                <c:formatCode>General</c:formatCode>
                <c:ptCount val="5"/>
                <c:pt idx="0">
                  <c:v>2020</c:v>
                </c:pt>
                <c:pt idx="1">
                  <c:v>2021</c:v>
                </c:pt>
                <c:pt idx="2">
                  <c:v>2022</c:v>
                </c:pt>
                <c:pt idx="3">
                  <c:v>2023</c:v>
                </c:pt>
                <c:pt idx="4">
                  <c:v>2024</c:v>
                </c:pt>
              </c:numCache>
            </c:numRef>
          </c:cat>
          <c:val>
            <c:numRef>
              <c:f>DEUDA!$C$27:$G$27</c:f>
              <c:numCache>
                <c:formatCode>0.00</c:formatCode>
                <c:ptCount val="5"/>
                <c:pt idx="0">
                  <c:v>3.1882821245185271</c:v>
                </c:pt>
                <c:pt idx="1">
                  <c:v>5.3027383624038062</c:v>
                </c:pt>
                <c:pt idx="2">
                  <c:v>5.8100341664801389</c:v>
                </c:pt>
                <c:pt idx="3">
                  <c:v>9.814967475608233</c:v>
                </c:pt>
                <c:pt idx="4">
                  <c:v>3.8813284651906788</c:v>
                </c:pt>
              </c:numCache>
            </c:numRef>
          </c:val>
          <c:extLst>
            <c:ext xmlns:c16="http://schemas.microsoft.com/office/drawing/2014/chart" uri="{C3380CC4-5D6E-409C-BE32-E72D297353CC}">
              <c16:uniqueId val="{00000000-B24D-4CAF-837E-DF1489DB7B98}"/>
            </c:ext>
          </c:extLst>
        </c:ser>
        <c:dLbls>
          <c:showLegendKey val="0"/>
          <c:showVal val="0"/>
          <c:showCatName val="0"/>
          <c:showSerName val="0"/>
          <c:showPercent val="0"/>
          <c:showBubbleSize val="0"/>
        </c:dLbls>
        <c:gapWidth val="219"/>
        <c:overlap val="-27"/>
        <c:axId val="1062363456"/>
        <c:axId val="1062375104"/>
      </c:barChart>
      <c:lineChart>
        <c:grouping val="standard"/>
        <c:varyColors val="0"/>
        <c:ser>
          <c:idx val="1"/>
          <c:order val="1"/>
          <c:tx>
            <c:strRef>
              <c:f>DEUDA!$B$28</c:f>
              <c:strCache>
                <c:ptCount val="1"/>
                <c:pt idx="0">
                  <c:v>ICI promedio </c:v>
                </c:pt>
              </c:strCache>
            </c:strRef>
          </c:tx>
          <c:spPr>
            <a:ln w="28575" cap="rnd">
              <a:solidFill>
                <a:schemeClr val="accent2"/>
              </a:solidFill>
              <a:round/>
            </a:ln>
            <a:effectLst/>
          </c:spPr>
          <c:marker>
            <c:symbol val="none"/>
          </c:marker>
          <c:cat>
            <c:numRef>
              <c:f>DEUDA!$C$26:$G$26</c:f>
              <c:numCache>
                <c:formatCode>General</c:formatCode>
                <c:ptCount val="5"/>
                <c:pt idx="0">
                  <c:v>2020</c:v>
                </c:pt>
                <c:pt idx="1">
                  <c:v>2021</c:v>
                </c:pt>
                <c:pt idx="2">
                  <c:v>2022</c:v>
                </c:pt>
                <c:pt idx="3">
                  <c:v>2023</c:v>
                </c:pt>
                <c:pt idx="4">
                  <c:v>2024</c:v>
                </c:pt>
              </c:numCache>
            </c:numRef>
          </c:cat>
          <c:val>
            <c:numRef>
              <c:f>DEUDA!$C$28:$G$28</c:f>
              <c:numCache>
                <c:formatCode>0.00</c:formatCode>
                <c:ptCount val="5"/>
                <c:pt idx="0">
                  <c:v>5.5994701188402773</c:v>
                </c:pt>
                <c:pt idx="1">
                  <c:v>5.5994701188402773</c:v>
                </c:pt>
                <c:pt idx="2">
                  <c:v>5.5994701188402773</c:v>
                </c:pt>
                <c:pt idx="3">
                  <c:v>5.5994701188402773</c:v>
                </c:pt>
                <c:pt idx="4">
                  <c:v>5.5994701188402773</c:v>
                </c:pt>
              </c:numCache>
            </c:numRef>
          </c:val>
          <c:smooth val="0"/>
          <c:extLst>
            <c:ext xmlns:c16="http://schemas.microsoft.com/office/drawing/2014/chart" uri="{C3380CC4-5D6E-409C-BE32-E72D297353CC}">
              <c16:uniqueId val="{00000001-B24D-4CAF-837E-DF1489DB7B98}"/>
            </c:ext>
          </c:extLst>
        </c:ser>
        <c:dLbls>
          <c:showLegendKey val="0"/>
          <c:showVal val="0"/>
          <c:showCatName val="0"/>
          <c:showSerName val="0"/>
          <c:showPercent val="0"/>
          <c:showBubbleSize val="0"/>
        </c:dLbls>
        <c:marker val="1"/>
        <c:smooth val="0"/>
        <c:axId val="1062363456"/>
        <c:axId val="1062375104"/>
      </c:lineChart>
      <c:catAx>
        <c:axId val="106236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62375104"/>
        <c:crosses val="autoZero"/>
        <c:auto val="1"/>
        <c:lblAlgn val="ctr"/>
        <c:lblOffset val="100"/>
        <c:noMultiLvlLbl val="0"/>
      </c:catAx>
      <c:valAx>
        <c:axId val="1062375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62363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INDICE DE CALIDAD DE DEUDA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DEUDA!$B$54</c:f>
              <c:strCache>
                <c:ptCount val="1"/>
                <c:pt idx="0">
                  <c:v>ICD=PC/PT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DEUDA!$C$53:$G$53</c:f>
              <c:numCache>
                <c:formatCode>General</c:formatCode>
                <c:ptCount val="5"/>
                <c:pt idx="0">
                  <c:v>2020</c:v>
                </c:pt>
                <c:pt idx="1">
                  <c:v>2021</c:v>
                </c:pt>
                <c:pt idx="2">
                  <c:v>2022</c:v>
                </c:pt>
                <c:pt idx="3">
                  <c:v>2023</c:v>
                </c:pt>
                <c:pt idx="4">
                  <c:v>2024</c:v>
                </c:pt>
              </c:numCache>
            </c:numRef>
          </c:cat>
          <c:val>
            <c:numRef>
              <c:f>DEUDA!$C$54:$G$54</c:f>
              <c:numCache>
                <c:formatCode>0%</c:formatCode>
                <c:ptCount val="5"/>
                <c:pt idx="0">
                  <c:v>0.47762472497580366</c:v>
                </c:pt>
                <c:pt idx="1">
                  <c:v>0.42021134331477594</c:v>
                </c:pt>
                <c:pt idx="2">
                  <c:v>0.43975150898832793</c:v>
                </c:pt>
                <c:pt idx="3">
                  <c:v>0.4025180054539213</c:v>
                </c:pt>
                <c:pt idx="4">
                  <c:v>0.44497700515600108</c:v>
                </c:pt>
              </c:numCache>
            </c:numRef>
          </c:val>
          <c:extLst>
            <c:ext xmlns:c16="http://schemas.microsoft.com/office/drawing/2014/chart" uri="{C3380CC4-5D6E-409C-BE32-E72D297353CC}">
              <c16:uniqueId val="{00000000-307C-4503-B149-D743FC9DB7B0}"/>
            </c:ext>
          </c:extLst>
        </c:ser>
        <c:dLbls>
          <c:showLegendKey val="0"/>
          <c:showVal val="0"/>
          <c:showCatName val="0"/>
          <c:showSerName val="0"/>
          <c:showPercent val="0"/>
          <c:showBubbleSize val="0"/>
        </c:dLbls>
        <c:gapWidth val="219"/>
        <c:overlap val="-27"/>
        <c:axId val="1249644784"/>
        <c:axId val="1249664752"/>
      </c:barChart>
      <c:lineChart>
        <c:grouping val="standard"/>
        <c:varyColors val="0"/>
        <c:ser>
          <c:idx val="1"/>
          <c:order val="1"/>
          <c:tx>
            <c:strRef>
              <c:f>DEUDA!$B$55</c:f>
              <c:strCache>
                <c:ptCount val="1"/>
                <c:pt idx="0">
                  <c:v>ICD PROMEDIO</c:v>
                </c:pt>
              </c:strCache>
            </c:strRef>
          </c:tx>
          <c:spPr>
            <a:ln w="28575" cap="rnd">
              <a:solidFill>
                <a:schemeClr val="accent2"/>
              </a:solidFill>
              <a:round/>
            </a:ln>
            <a:effectLst/>
          </c:spPr>
          <c:marker>
            <c:symbol val="none"/>
          </c:marker>
          <c:cat>
            <c:numRef>
              <c:f>DEUDA!$C$53:$G$53</c:f>
              <c:numCache>
                <c:formatCode>General</c:formatCode>
                <c:ptCount val="5"/>
                <c:pt idx="0">
                  <c:v>2020</c:v>
                </c:pt>
                <c:pt idx="1">
                  <c:v>2021</c:v>
                </c:pt>
                <c:pt idx="2">
                  <c:v>2022</c:v>
                </c:pt>
                <c:pt idx="3">
                  <c:v>2023</c:v>
                </c:pt>
                <c:pt idx="4">
                  <c:v>2024</c:v>
                </c:pt>
              </c:numCache>
            </c:numRef>
          </c:cat>
          <c:val>
            <c:numRef>
              <c:f>DEUDA!$C$55:$G$55</c:f>
              <c:numCache>
                <c:formatCode>0%</c:formatCode>
                <c:ptCount val="5"/>
                <c:pt idx="0">
                  <c:v>0.43701651757776594</c:v>
                </c:pt>
                <c:pt idx="1">
                  <c:v>0.43701651757776594</c:v>
                </c:pt>
                <c:pt idx="2">
                  <c:v>0.43701651757776594</c:v>
                </c:pt>
                <c:pt idx="3">
                  <c:v>0.43701651757776594</c:v>
                </c:pt>
                <c:pt idx="4">
                  <c:v>0.43701651757776594</c:v>
                </c:pt>
              </c:numCache>
            </c:numRef>
          </c:val>
          <c:smooth val="0"/>
          <c:extLst>
            <c:ext xmlns:c16="http://schemas.microsoft.com/office/drawing/2014/chart" uri="{C3380CC4-5D6E-409C-BE32-E72D297353CC}">
              <c16:uniqueId val="{00000001-307C-4503-B149-D743FC9DB7B0}"/>
            </c:ext>
          </c:extLst>
        </c:ser>
        <c:dLbls>
          <c:showLegendKey val="0"/>
          <c:showVal val="0"/>
          <c:showCatName val="0"/>
          <c:showSerName val="0"/>
          <c:showPercent val="0"/>
          <c:showBubbleSize val="0"/>
        </c:dLbls>
        <c:marker val="1"/>
        <c:smooth val="0"/>
        <c:axId val="1249644784"/>
        <c:axId val="1249664752"/>
      </c:lineChart>
      <c:catAx>
        <c:axId val="124964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9664752"/>
        <c:crosses val="autoZero"/>
        <c:auto val="1"/>
        <c:lblAlgn val="ctr"/>
        <c:lblOffset val="100"/>
        <c:noMultiLvlLbl val="0"/>
      </c:catAx>
      <c:valAx>
        <c:axId val="12496647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9644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Rotación de activo total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'EFICIENCIA O ACTIVIDAD'!$B$5</c:f>
              <c:strCache>
                <c:ptCount val="1"/>
                <c:pt idx="0">
                  <c:v>Rat= V/AT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'EFICIENCIA O ACTIVIDAD'!$C$4:$G$4</c:f>
              <c:numCache>
                <c:formatCode>General</c:formatCode>
                <c:ptCount val="5"/>
                <c:pt idx="0">
                  <c:v>2020</c:v>
                </c:pt>
                <c:pt idx="1">
                  <c:v>2021</c:v>
                </c:pt>
                <c:pt idx="2">
                  <c:v>2022</c:v>
                </c:pt>
                <c:pt idx="3">
                  <c:v>2023</c:v>
                </c:pt>
                <c:pt idx="4">
                  <c:v>2024</c:v>
                </c:pt>
              </c:numCache>
            </c:numRef>
          </c:cat>
          <c:val>
            <c:numRef>
              <c:f>'EFICIENCIA O ACTIVIDAD'!$C$5:$G$5</c:f>
              <c:numCache>
                <c:formatCode>0.00</c:formatCode>
                <c:ptCount val="5"/>
                <c:pt idx="0">
                  <c:v>0.80855515799333189</c:v>
                </c:pt>
                <c:pt idx="1">
                  <c:v>0.76212325225926836</c:v>
                </c:pt>
                <c:pt idx="2">
                  <c:v>0.74061227702714005</c:v>
                </c:pt>
                <c:pt idx="3">
                  <c:v>0.66962037583351941</c:v>
                </c:pt>
                <c:pt idx="4">
                  <c:v>0.67026729456093537</c:v>
                </c:pt>
              </c:numCache>
            </c:numRef>
          </c:val>
          <c:extLst>
            <c:ext xmlns:c16="http://schemas.microsoft.com/office/drawing/2014/chart" uri="{C3380CC4-5D6E-409C-BE32-E72D297353CC}">
              <c16:uniqueId val="{00000000-F617-4BE4-8EAB-10002A082478}"/>
            </c:ext>
          </c:extLst>
        </c:ser>
        <c:dLbls>
          <c:showLegendKey val="0"/>
          <c:showVal val="0"/>
          <c:showCatName val="0"/>
          <c:showSerName val="0"/>
          <c:showPercent val="0"/>
          <c:showBubbleSize val="0"/>
        </c:dLbls>
        <c:gapWidth val="219"/>
        <c:overlap val="-27"/>
        <c:axId val="1531630656"/>
        <c:axId val="1531646048"/>
      </c:barChart>
      <c:lineChart>
        <c:grouping val="standard"/>
        <c:varyColors val="0"/>
        <c:ser>
          <c:idx val="1"/>
          <c:order val="1"/>
          <c:tx>
            <c:strRef>
              <c:f>'EFICIENCIA O ACTIVIDAD'!$B$6</c:f>
              <c:strCache>
                <c:ptCount val="1"/>
                <c:pt idx="0">
                  <c:v>Promedio</c:v>
                </c:pt>
              </c:strCache>
            </c:strRef>
          </c:tx>
          <c:spPr>
            <a:ln w="28575" cap="rnd">
              <a:solidFill>
                <a:schemeClr val="accent2"/>
              </a:solidFill>
              <a:round/>
            </a:ln>
            <a:effectLst/>
          </c:spPr>
          <c:marker>
            <c:symbol val="none"/>
          </c:marker>
          <c:cat>
            <c:numRef>
              <c:f>'EFICIENCIA O ACTIVIDAD'!$C$4:$G$4</c:f>
              <c:numCache>
                <c:formatCode>General</c:formatCode>
                <c:ptCount val="5"/>
                <c:pt idx="0">
                  <c:v>2020</c:v>
                </c:pt>
                <c:pt idx="1">
                  <c:v>2021</c:v>
                </c:pt>
                <c:pt idx="2">
                  <c:v>2022</c:v>
                </c:pt>
                <c:pt idx="3">
                  <c:v>2023</c:v>
                </c:pt>
                <c:pt idx="4">
                  <c:v>2024</c:v>
                </c:pt>
              </c:numCache>
            </c:numRef>
          </c:cat>
          <c:val>
            <c:numRef>
              <c:f>'EFICIENCIA O ACTIVIDAD'!$C$6:$G$6</c:f>
              <c:numCache>
                <c:formatCode>0.00</c:formatCode>
                <c:ptCount val="5"/>
                <c:pt idx="0">
                  <c:v>0.73023567153483904</c:v>
                </c:pt>
                <c:pt idx="1">
                  <c:v>0.73023567153483904</c:v>
                </c:pt>
                <c:pt idx="2">
                  <c:v>0.73023567153483904</c:v>
                </c:pt>
                <c:pt idx="3">
                  <c:v>0.73023567153483904</c:v>
                </c:pt>
                <c:pt idx="4">
                  <c:v>0.73023567153483904</c:v>
                </c:pt>
              </c:numCache>
            </c:numRef>
          </c:val>
          <c:smooth val="0"/>
          <c:extLst>
            <c:ext xmlns:c16="http://schemas.microsoft.com/office/drawing/2014/chart" uri="{C3380CC4-5D6E-409C-BE32-E72D297353CC}">
              <c16:uniqueId val="{00000001-F617-4BE4-8EAB-10002A082478}"/>
            </c:ext>
          </c:extLst>
        </c:ser>
        <c:dLbls>
          <c:showLegendKey val="0"/>
          <c:showVal val="0"/>
          <c:showCatName val="0"/>
          <c:showSerName val="0"/>
          <c:showPercent val="0"/>
          <c:showBubbleSize val="0"/>
        </c:dLbls>
        <c:marker val="1"/>
        <c:smooth val="0"/>
        <c:axId val="1531630656"/>
        <c:axId val="1531646048"/>
      </c:lineChart>
      <c:catAx>
        <c:axId val="15316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31646048"/>
        <c:crosses val="autoZero"/>
        <c:auto val="1"/>
        <c:lblAlgn val="ctr"/>
        <c:lblOffset val="100"/>
        <c:noMultiLvlLbl val="0"/>
      </c:catAx>
      <c:valAx>
        <c:axId val="1531646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3163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PERIODO PROMEDIO DE COBRO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'EFICIENCIA O ACTIVIDAD'!$B$29</c:f>
              <c:strCache>
                <c:ptCount val="1"/>
                <c:pt idx="0">
                  <c:v>PPC= 360/(V/C*C)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'EFICIENCIA O ACTIVIDAD'!$C$28:$G$28</c:f>
              <c:numCache>
                <c:formatCode>General</c:formatCode>
                <c:ptCount val="5"/>
                <c:pt idx="0">
                  <c:v>2020</c:v>
                </c:pt>
                <c:pt idx="1">
                  <c:v>2021</c:v>
                </c:pt>
                <c:pt idx="2">
                  <c:v>2022</c:v>
                </c:pt>
                <c:pt idx="3">
                  <c:v>2023</c:v>
                </c:pt>
                <c:pt idx="4">
                  <c:v>2024</c:v>
                </c:pt>
              </c:numCache>
            </c:numRef>
          </c:cat>
          <c:val>
            <c:numRef>
              <c:f>'EFICIENCIA O ACTIVIDAD'!$C$29:$G$29</c:f>
              <c:numCache>
                <c:formatCode>0.00</c:formatCode>
                <c:ptCount val="5"/>
                <c:pt idx="0">
                  <c:v>77.687611817219604</c:v>
                </c:pt>
                <c:pt idx="1">
                  <c:v>35.589313786796112</c:v>
                </c:pt>
                <c:pt idx="2">
                  <c:v>37.594331584718255</c:v>
                </c:pt>
                <c:pt idx="3">
                  <c:v>46.306578967879467</c:v>
                </c:pt>
                <c:pt idx="4">
                  <c:v>58.090311731498723</c:v>
                </c:pt>
              </c:numCache>
            </c:numRef>
          </c:val>
          <c:extLst>
            <c:ext xmlns:c16="http://schemas.microsoft.com/office/drawing/2014/chart" uri="{C3380CC4-5D6E-409C-BE32-E72D297353CC}">
              <c16:uniqueId val="{00000000-090B-4CFA-844E-6EA0EE1B0574}"/>
            </c:ext>
          </c:extLst>
        </c:ser>
        <c:dLbls>
          <c:showLegendKey val="0"/>
          <c:showVal val="0"/>
          <c:showCatName val="0"/>
          <c:showSerName val="0"/>
          <c:showPercent val="0"/>
          <c:showBubbleSize val="0"/>
        </c:dLbls>
        <c:gapWidth val="219"/>
        <c:overlap val="-27"/>
        <c:axId val="1531632736"/>
        <c:axId val="1531644384"/>
      </c:barChart>
      <c:lineChart>
        <c:grouping val="standard"/>
        <c:varyColors val="0"/>
        <c:ser>
          <c:idx val="1"/>
          <c:order val="1"/>
          <c:tx>
            <c:strRef>
              <c:f>'EFICIENCIA O ACTIVIDAD'!$B$30</c:f>
              <c:strCache>
                <c:ptCount val="1"/>
                <c:pt idx="0">
                  <c:v>PPCC promedio</c:v>
                </c:pt>
              </c:strCache>
            </c:strRef>
          </c:tx>
          <c:spPr>
            <a:ln w="28575" cap="rnd">
              <a:solidFill>
                <a:schemeClr val="accent2"/>
              </a:solidFill>
              <a:round/>
            </a:ln>
            <a:effectLst/>
          </c:spPr>
          <c:marker>
            <c:symbol val="none"/>
          </c:marker>
          <c:cat>
            <c:numRef>
              <c:f>'EFICIENCIA O ACTIVIDAD'!$C$28:$G$28</c:f>
              <c:numCache>
                <c:formatCode>General</c:formatCode>
                <c:ptCount val="5"/>
                <c:pt idx="0">
                  <c:v>2020</c:v>
                </c:pt>
                <c:pt idx="1">
                  <c:v>2021</c:v>
                </c:pt>
                <c:pt idx="2">
                  <c:v>2022</c:v>
                </c:pt>
                <c:pt idx="3">
                  <c:v>2023</c:v>
                </c:pt>
                <c:pt idx="4">
                  <c:v>2024</c:v>
                </c:pt>
              </c:numCache>
            </c:numRef>
          </c:cat>
          <c:val>
            <c:numRef>
              <c:f>'EFICIENCIA O ACTIVIDAD'!$C$30:$G$30</c:f>
              <c:numCache>
                <c:formatCode>0.00</c:formatCode>
                <c:ptCount val="5"/>
                <c:pt idx="0">
                  <c:v>51.053629577622431</c:v>
                </c:pt>
                <c:pt idx="1">
                  <c:v>51.053629577622431</c:v>
                </c:pt>
                <c:pt idx="2">
                  <c:v>51.053629577622431</c:v>
                </c:pt>
                <c:pt idx="3">
                  <c:v>51.053629577622431</c:v>
                </c:pt>
                <c:pt idx="4">
                  <c:v>51.053629577622431</c:v>
                </c:pt>
              </c:numCache>
            </c:numRef>
          </c:val>
          <c:smooth val="0"/>
          <c:extLst>
            <c:ext xmlns:c16="http://schemas.microsoft.com/office/drawing/2014/chart" uri="{C3380CC4-5D6E-409C-BE32-E72D297353CC}">
              <c16:uniqueId val="{00000001-090B-4CFA-844E-6EA0EE1B0574}"/>
            </c:ext>
          </c:extLst>
        </c:ser>
        <c:dLbls>
          <c:showLegendKey val="0"/>
          <c:showVal val="0"/>
          <c:showCatName val="0"/>
          <c:showSerName val="0"/>
          <c:showPercent val="0"/>
          <c:showBubbleSize val="0"/>
        </c:dLbls>
        <c:marker val="1"/>
        <c:smooth val="0"/>
        <c:axId val="1531632736"/>
        <c:axId val="1531644384"/>
      </c:lineChart>
      <c:catAx>
        <c:axId val="15316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31644384"/>
        <c:crosses val="autoZero"/>
        <c:auto val="1"/>
        <c:lblAlgn val="ctr"/>
        <c:lblOffset val="100"/>
        <c:noMultiLvlLbl val="0"/>
      </c:catAx>
      <c:valAx>
        <c:axId val="1531644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316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PERIODO PROMEDIO DE INVENTARIO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'EFICIENCIA O ACTIVIDAD'!$B$55</c:f>
              <c:strCache>
                <c:ptCount val="1"/>
                <c:pt idx="0">
                  <c:v>PPI=360/(CV/INV)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'EFICIENCIA O ACTIVIDAD'!$C$54:$G$54</c:f>
              <c:numCache>
                <c:formatCode>General</c:formatCode>
                <c:ptCount val="5"/>
                <c:pt idx="0">
                  <c:v>2020</c:v>
                </c:pt>
                <c:pt idx="1">
                  <c:v>2021</c:v>
                </c:pt>
                <c:pt idx="2">
                  <c:v>2022</c:v>
                </c:pt>
                <c:pt idx="3">
                  <c:v>2023</c:v>
                </c:pt>
                <c:pt idx="4">
                  <c:v>2024</c:v>
                </c:pt>
              </c:numCache>
            </c:numRef>
          </c:cat>
          <c:val>
            <c:numRef>
              <c:f>'EFICIENCIA O ACTIVIDAD'!$C$55:$G$55</c:f>
              <c:numCache>
                <c:formatCode>0.00</c:formatCode>
                <c:ptCount val="5"/>
                <c:pt idx="0">
                  <c:v>285.99388763700676</c:v>
                </c:pt>
                <c:pt idx="1">
                  <c:v>316.59966956463029</c:v>
                </c:pt>
                <c:pt idx="2">
                  <c:v>265.68874540142082</c:v>
                </c:pt>
                <c:pt idx="3">
                  <c:v>294.00492257622119</c:v>
                </c:pt>
                <c:pt idx="4">
                  <c:v>305.03303908070262</c:v>
                </c:pt>
              </c:numCache>
            </c:numRef>
          </c:val>
          <c:extLst>
            <c:ext xmlns:c16="http://schemas.microsoft.com/office/drawing/2014/chart" uri="{C3380CC4-5D6E-409C-BE32-E72D297353CC}">
              <c16:uniqueId val="{00000000-873E-4163-80B6-EF0602272EDC}"/>
            </c:ext>
          </c:extLst>
        </c:ser>
        <c:dLbls>
          <c:showLegendKey val="0"/>
          <c:showVal val="0"/>
          <c:showCatName val="0"/>
          <c:showSerName val="0"/>
          <c:showPercent val="0"/>
          <c:showBubbleSize val="0"/>
        </c:dLbls>
        <c:gapWidth val="219"/>
        <c:overlap val="-27"/>
        <c:axId val="1527960144"/>
        <c:axId val="1527957232"/>
      </c:barChart>
      <c:lineChart>
        <c:grouping val="standard"/>
        <c:varyColors val="0"/>
        <c:ser>
          <c:idx val="1"/>
          <c:order val="1"/>
          <c:tx>
            <c:strRef>
              <c:f>'EFICIENCIA O ACTIVIDAD'!$B$56</c:f>
              <c:strCache>
                <c:ptCount val="1"/>
                <c:pt idx="0">
                  <c:v>PPI promedio</c:v>
                </c:pt>
              </c:strCache>
            </c:strRef>
          </c:tx>
          <c:spPr>
            <a:ln w="28575" cap="rnd">
              <a:solidFill>
                <a:schemeClr val="accent2"/>
              </a:solidFill>
              <a:round/>
            </a:ln>
            <a:effectLst/>
          </c:spPr>
          <c:marker>
            <c:symbol val="none"/>
          </c:marker>
          <c:cat>
            <c:numRef>
              <c:f>'EFICIENCIA O ACTIVIDAD'!$C$54:$G$54</c:f>
              <c:numCache>
                <c:formatCode>General</c:formatCode>
                <c:ptCount val="5"/>
                <c:pt idx="0">
                  <c:v>2020</c:v>
                </c:pt>
                <c:pt idx="1">
                  <c:v>2021</c:v>
                </c:pt>
                <c:pt idx="2">
                  <c:v>2022</c:v>
                </c:pt>
                <c:pt idx="3">
                  <c:v>2023</c:v>
                </c:pt>
                <c:pt idx="4">
                  <c:v>2024</c:v>
                </c:pt>
              </c:numCache>
            </c:numRef>
          </c:cat>
          <c:val>
            <c:numRef>
              <c:f>'EFICIENCIA O ACTIVIDAD'!$C$56:$G$56</c:f>
              <c:numCache>
                <c:formatCode>0.00</c:formatCode>
                <c:ptCount val="5"/>
                <c:pt idx="0">
                  <c:v>293.46405285199631</c:v>
                </c:pt>
                <c:pt idx="1">
                  <c:v>293.46405285199631</c:v>
                </c:pt>
                <c:pt idx="2">
                  <c:v>293.46405285199631</c:v>
                </c:pt>
                <c:pt idx="3">
                  <c:v>293.46405285199631</c:v>
                </c:pt>
                <c:pt idx="4">
                  <c:v>293.46405285199631</c:v>
                </c:pt>
              </c:numCache>
            </c:numRef>
          </c:val>
          <c:smooth val="0"/>
          <c:extLst>
            <c:ext xmlns:c16="http://schemas.microsoft.com/office/drawing/2014/chart" uri="{C3380CC4-5D6E-409C-BE32-E72D297353CC}">
              <c16:uniqueId val="{00000001-873E-4163-80B6-EF0602272EDC}"/>
            </c:ext>
          </c:extLst>
        </c:ser>
        <c:dLbls>
          <c:showLegendKey val="0"/>
          <c:showVal val="0"/>
          <c:showCatName val="0"/>
          <c:showSerName val="0"/>
          <c:showPercent val="0"/>
          <c:showBubbleSize val="0"/>
        </c:dLbls>
        <c:marker val="1"/>
        <c:smooth val="0"/>
        <c:axId val="1527960144"/>
        <c:axId val="1527957232"/>
      </c:lineChart>
      <c:catAx>
        <c:axId val="15279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7957232"/>
        <c:crosses val="autoZero"/>
        <c:auto val="1"/>
        <c:lblAlgn val="ctr"/>
        <c:lblOffset val="100"/>
        <c:noMultiLvlLbl val="0"/>
      </c:catAx>
      <c:valAx>
        <c:axId val="15279572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7960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PERIODO PROMEDIO</a:t>
            </a:r>
            <a:r>
              <a:rPr lang="es-BO" baseline="0"/>
              <a:t> DE PAGO</a:t>
            </a:r>
            <a:endParaRPr lang="es-B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'EFICIENCIA O ACTIVIDAD'!$B$77</c:f>
              <c:strCache>
                <c:ptCount val="1"/>
                <c:pt idx="0">
                  <c:v>PPP=360/CV/C*P)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'EFICIENCIA O ACTIVIDAD'!$C$76:$G$76</c:f>
              <c:numCache>
                <c:formatCode>General</c:formatCode>
                <c:ptCount val="5"/>
                <c:pt idx="0">
                  <c:v>2020</c:v>
                </c:pt>
                <c:pt idx="1">
                  <c:v>2021</c:v>
                </c:pt>
                <c:pt idx="2">
                  <c:v>2022</c:v>
                </c:pt>
                <c:pt idx="3">
                  <c:v>2023</c:v>
                </c:pt>
                <c:pt idx="4">
                  <c:v>2024</c:v>
                </c:pt>
              </c:numCache>
            </c:numRef>
          </c:cat>
          <c:val>
            <c:numRef>
              <c:f>'EFICIENCIA O ACTIVIDAD'!$C$77:$G$77</c:f>
              <c:numCache>
                <c:formatCode>0.00</c:formatCode>
                <c:ptCount val="5"/>
                <c:pt idx="0">
                  <c:v>116.42112028984609</c:v>
                </c:pt>
                <c:pt idx="1">
                  <c:v>73.263712286751073</c:v>
                </c:pt>
                <c:pt idx="2">
                  <c:v>64.631198385541524</c:v>
                </c:pt>
                <c:pt idx="3">
                  <c:v>88.950853804686076</c:v>
                </c:pt>
                <c:pt idx="4">
                  <c:v>105.67581567575458</c:v>
                </c:pt>
              </c:numCache>
            </c:numRef>
          </c:val>
          <c:extLst>
            <c:ext xmlns:c16="http://schemas.microsoft.com/office/drawing/2014/chart" uri="{C3380CC4-5D6E-409C-BE32-E72D297353CC}">
              <c16:uniqueId val="{00000000-45A2-4D31-9092-F203B96F7FD9}"/>
            </c:ext>
          </c:extLst>
        </c:ser>
        <c:dLbls>
          <c:showLegendKey val="0"/>
          <c:showVal val="0"/>
          <c:showCatName val="0"/>
          <c:showSerName val="0"/>
          <c:showPercent val="0"/>
          <c:showBubbleSize val="0"/>
        </c:dLbls>
        <c:gapWidth val="219"/>
        <c:overlap val="-27"/>
        <c:axId val="1529669904"/>
        <c:axId val="1529667824"/>
      </c:barChart>
      <c:lineChart>
        <c:grouping val="standard"/>
        <c:varyColors val="0"/>
        <c:ser>
          <c:idx val="1"/>
          <c:order val="1"/>
          <c:tx>
            <c:strRef>
              <c:f>'EFICIENCIA O ACTIVIDAD'!$B$78</c:f>
              <c:strCache>
                <c:ptCount val="1"/>
                <c:pt idx="0">
                  <c:v>PPP promedio</c:v>
                </c:pt>
              </c:strCache>
            </c:strRef>
          </c:tx>
          <c:spPr>
            <a:ln w="28575" cap="rnd">
              <a:solidFill>
                <a:schemeClr val="accent2"/>
              </a:solidFill>
              <a:round/>
            </a:ln>
            <a:effectLst/>
          </c:spPr>
          <c:marker>
            <c:symbol val="none"/>
          </c:marker>
          <c:cat>
            <c:numRef>
              <c:f>'EFICIENCIA O ACTIVIDAD'!$C$76:$G$76</c:f>
              <c:numCache>
                <c:formatCode>General</c:formatCode>
                <c:ptCount val="5"/>
                <c:pt idx="0">
                  <c:v>2020</c:v>
                </c:pt>
                <c:pt idx="1">
                  <c:v>2021</c:v>
                </c:pt>
                <c:pt idx="2">
                  <c:v>2022</c:v>
                </c:pt>
                <c:pt idx="3">
                  <c:v>2023</c:v>
                </c:pt>
                <c:pt idx="4">
                  <c:v>2024</c:v>
                </c:pt>
              </c:numCache>
            </c:numRef>
          </c:cat>
          <c:val>
            <c:numRef>
              <c:f>'EFICIENCIA O ACTIVIDAD'!$C$78:$G$78</c:f>
              <c:numCache>
                <c:formatCode>0.00</c:formatCode>
                <c:ptCount val="5"/>
                <c:pt idx="0">
                  <c:v>89.788540088515873</c:v>
                </c:pt>
                <c:pt idx="1">
                  <c:v>89.788540088515873</c:v>
                </c:pt>
                <c:pt idx="2">
                  <c:v>89.788540088515873</c:v>
                </c:pt>
                <c:pt idx="3">
                  <c:v>89.788540088515873</c:v>
                </c:pt>
                <c:pt idx="4">
                  <c:v>89.788540088515873</c:v>
                </c:pt>
              </c:numCache>
            </c:numRef>
          </c:val>
          <c:smooth val="0"/>
          <c:extLst>
            <c:ext xmlns:c16="http://schemas.microsoft.com/office/drawing/2014/chart" uri="{C3380CC4-5D6E-409C-BE32-E72D297353CC}">
              <c16:uniqueId val="{00000001-45A2-4D31-9092-F203B96F7FD9}"/>
            </c:ext>
          </c:extLst>
        </c:ser>
        <c:dLbls>
          <c:showLegendKey val="0"/>
          <c:showVal val="0"/>
          <c:showCatName val="0"/>
          <c:showSerName val="0"/>
          <c:showPercent val="0"/>
          <c:showBubbleSize val="0"/>
        </c:dLbls>
        <c:marker val="1"/>
        <c:smooth val="0"/>
        <c:axId val="1529669904"/>
        <c:axId val="1529667824"/>
      </c:lineChart>
      <c:catAx>
        <c:axId val="15296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9667824"/>
        <c:crosses val="autoZero"/>
        <c:auto val="1"/>
        <c:lblAlgn val="ctr"/>
        <c:lblOffset val="100"/>
        <c:noMultiLvlLbl val="0"/>
      </c:catAx>
      <c:valAx>
        <c:axId val="1529667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2966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MARGEN</a:t>
            </a:r>
            <a:r>
              <a:rPr lang="es-BO" b="1" baseline="0"/>
              <a:t> BRUTO</a:t>
            </a:r>
            <a:endParaRPr lang="es-B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RENTABILIDAD!$B$6</c:f>
              <c:strCache>
                <c:ptCount val="1"/>
                <c:pt idx="0">
                  <c:v>MB=UB/V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RENTABILIDAD!$C$5:$G$5</c:f>
              <c:numCache>
                <c:formatCode>General</c:formatCode>
                <c:ptCount val="5"/>
                <c:pt idx="0">
                  <c:v>2020</c:v>
                </c:pt>
                <c:pt idx="1">
                  <c:v>2021</c:v>
                </c:pt>
                <c:pt idx="2">
                  <c:v>2022</c:v>
                </c:pt>
                <c:pt idx="3">
                  <c:v>2023</c:v>
                </c:pt>
                <c:pt idx="4">
                  <c:v>2024</c:v>
                </c:pt>
              </c:numCache>
            </c:numRef>
          </c:cat>
          <c:val>
            <c:numRef>
              <c:f>RENTABILIDAD!$C$6:$G$6</c:f>
              <c:numCache>
                <c:formatCode>0%</c:formatCode>
                <c:ptCount val="5"/>
                <c:pt idx="0">
                  <c:v>0.49853244621670445</c:v>
                </c:pt>
                <c:pt idx="1">
                  <c:v>0.52869884383964338</c:v>
                </c:pt>
                <c:pt idx="2">
                  <c:v>0.52029448874009332</c:v>
                </c:pt>
                <c:pt idx="3">
                  <c:v>0.50318336462511004</c:v>
                </c:pt>
                <c:pt idx="4">
                  <c:v>0.51687004521395219</c:v>
                </c:pt>
              </c:numCache>
            </c:numRef>
          </c:val>
          <c:extLst>
            <c:ext xmlns:c16="http://schemas.microsoft.com/office/drawing/2014/chart" uri="{C3380CC4-5D6E-409C-BE32-E72D297353CC}">
              <c16:uniqueId val="{00000000-18A9-4584-BC44-471543A21CB5}"/>
            </c:ext>
          </c:extLst>
        </c:ser>
        <c:dLbls>
          <c:showLegendKey val="0"/>
          <c:showVal val="0"/>
          <c:showCatName val="0"/>
          <c:showSerName val="0"/>
          <c:showPercent val="0"/>
          <c:showBubbleSize val="0"/>
        </c:dLbls>
        <c:gapWidth val="219"/>
        <c:overlap val="-27"/>
        <c:axId val="1995908352"/>
        <c:axId val="1995906272"/>
      </c:barChart>
      <c:lineChart>
        <c:grouping val="standard"/>
        <c:varyColors val="0"/>
        <c:ser>
          <c:idx val="1"/>
          <c:order val="1"/>
          <c:tx>
            <c:strRef>
              <c:f>RENTABILIDAD!$B$7</c:f>
              <c:strCache>
                <c:ptCount val="1"/>
                <c:pt idx="0">
                  <c:v>MB promedio </c:v>
                </c:pt>
              </c:strCache>
            </c:strRef>
          </c:tx>
          <c:spPr>
            <a:ln w="28575" cap="rnd">
              <a:solidFill>
                <a:schemeClr val="accent2"/>
              </a:solidFill>
              <a:round/>
            </a:ln>
            <a:effectLst/>
          </c:spPr>
          <c:marker>
            <c:symbol val="none"/>
          </c:marker>
          <c:cat>
            <c:numRef>
              <c:f>RENTABILIDAD!$C$5:$G$5</c:f>
              <c:numCache>
                <c:formatCode>General</c:formatCode>
                <c:ptCount val="5"/>
                <c:pt idx="0">
                  <c:v>2020</c:v>
                </c:pt>
                <c:pt idx="1">
                  <c:v>2021</c:v>
                </c:pt>
                <c:pt idx="2">
                  <c:v>2022</c:v>
                </c:pt>
                <c:pt idx="3">
                  <c:v>2023</c:v>
                </c:pt>
                <c:pt idx="4">
                  <c:v>2024</c:v>
                </c:pt>
              </c:numCache>
            </c:numRef>
          </c:cat>
          <c:val>
            <c:numRef>
              <c:f>RENTABILIDAD!$C$7:$G$7</c:f>
              <c:numCache>
                <c:formatCode>0%</c:formatCode>
                <c:ptCount val="5"/>
                <c:pt idx="0">
                  <c:v>0.51351583772710074</c:v>
                </c:pt>
                <c:pt idx="1">
                  <c:v>0.51351583772710074</c:v>
                </c:pt>
                <c:pt idx="2">
                  <c:v>0.51351583772710074</c:v>
                </c:pt>
                <c:pt idx="3">
                  <c:v>0.51351583772710074</c:v>
                </c:pt>
                <c:pt idx="4">
                  <c:v>0.51351583772710074</c:v>
                </c:pt>
              </c:numCache>
            </c:numRef>
          </c:val>
          <c:smooth val="0"/>
          <c:extLst>
            <c:ext xmlns:c16="http://schemas.microsoft.com/office/drawing/2014/chart" uri="{C3380CC4-5D6E-409C-BE32-E72D297353CC}">
              <c16:uniqueId val="{00000001-18A9-4584-BC44-471543A21CB5}"/>
            </c:ext>
          </c:extLst>
        </c:ser>
        <c:dLbls>
          <c:showLegendKey val="0"/>
          <c:showVal val="0"/>
          <c:showCatName val="0"/>
          <c:showSerName val="0"/>
          <c:showPercent val="0"/>
          <c:showBubbleSize val="0"/>
        </c:dLbls>
        <c:marker val="1"/>
        <c:smooth val="0"/>
        <c:axId val="1995908352"/>
        <c:axId val="1995906272"/>
      </c:lineChart>
      <c:catAx>
        <c:axId val="19959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5906272"/>
        <c:crosses val="autoZero"/>
        <c:auto val="1"/>
        <c:lblAlgn val="ctr"/>
        <c:lblOffset val="100"/>
        <c:noMultiLvlLbl val="0"/>
      </c:catAx>
      <c:valAx>
        <c:axId val="1995906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590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MARGEN</a:t>
            </a:r>
            <a:r>
              <a:rPr lang="es-BO" b="1" baseline="0"/>
              <a:t> OPERATIVO</a:t>
            </a:r>
            <a:endParaRPr lang="es-B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RENTABILIDAD!$B$28</c:f>
              <c:strCache>
                <c:ptCount val="1"/>
                <c:pt idx="0">
                  <c:v>MO= RO/V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RENTABILIDAD!$C$27:$G$27</c:f>
              <c:numCache>
                <c:formatCode>General</c:formatCode>
                <c:ptCount val="5"/>
                <c:pt idx="0">
                  <c:v>2020</c:v>
                </c:pt>
                <c:pt idx="1">
                  <c:v>2021</c:v>
                </c:pt>
                <c:pt idx="2">
                  <c:v>2022</c:v>
                </c:pt>
                <c:pt idx="3">
                  <c:v>2023</c:v>
                </c:pt>
                <c:pt idx="4">
                  <c:v>2024</c:v>
                </c:pt>
              </c:numCache>
            </c:numRef>
          </c:cat>
          <c:val>
            <c:numRef>
              <c:f>RENTABILIDAD!$C$28:$G$28</c:f>
              <c:numCache>
                <c:formatCode>0%</c:formatCode>
                <c:ptCount val="5"/>
                <c:pt idx="0">
                  <c:v>6.419990632622985E-2</c:v>
                </c:pt>
                <c:pt idx="1">
                  <c:v>0.11968175587557696</c:v>
                </c:pt>
                <c:pt idx="2">
                  <c:v>0.10346725485285692</c:v>
                </c:pt>
                <c:pt idx="3">
                  <c:v>0.10522575667493149</c:v>
                </c:pt>
                <c:pt idx="4">
                  <c:v>9.5139134457304014E-2</c:v>
                </c:pt>
              </c:numCache>
            </c:numRef>
          </c:val>
          <c:extLst>
            <c:ext xmlns:c16="http://schemas.microsoft.com/office/drawing/2014/chart" uri="{C3380CC4-5D6E-409C-BE32-E72D297353CC}">
              <c16:uniqueId val="{00000000-7059-4DEC-A2BA-2E6D499B9523}"/>
            </c:ext>
          </c:extLst>
        </c:ser>
        <c:dLbls>
          <c:showLegendKey val="0"/>
          <c:showVal val="0"/>
          <c:showCatName val="0"/>
          <c:showSerName val="0"/>
          <c:showPercent val="0"/>
          <c:showBubbleSize val="0"/>
        </c:dLbls>
        <c:gapWidth val="219"/>
        <c:overlap val="-27"/>
        <c:axId val="175629536"/>
        <c:axId val="175627456"/>
      </c:barChart>
      <c:lineChart>
        <c:grouping val="standard"/>
        <c:varyColors val="0"/>
        <c:ser>
          <c:idx val="1"/>
          <c:order val="1"/>
          <c:tx>
            <c:strRef>
              <c:f>RENTABILIDAD!$B$29</c:f>
              <c:strCache>
                <c:ptCount val="1"/>
                <c:pt idx="0">
                  <c:v>MO promedio </c:v>
                </c:pt>
              </c:strCache>
            </c:strRef>
          </c:tx>
          <c:spPr>
            <a:ln w="28575" cap="rnd">
              <a:solidFill>
                <a:schemeClr val="accent2"/>
              </a:solidFill>
              <a:round/>
            </a:ln>
            <a:effectLst/>
          </c:spPr>
          <c:marker>
            <c:symbol val="none"/>
          </c:marker>
          <c:cat>
            <c:numRef>
              <c:f>RENTABILIDAD!$C$27:$G$27</c:f>
              <c:numCache>
                <c:formatCode>General</c:formatCode>
                <c:ptCount val="5"/>
                <c:pt idx="0">
                  <c:v>2020</c:v>
                </c:pt>
                <c:pt idx="1">
                  <c:v>2021</c:v>
                </c:pt>
                <c:pt idx="2">
                  <c:v>2022</c:v>
                </c:pt>
                <c:pt idx="3">
                  <c:v>2023</c:v>
                </c:pt>
                <c:pt idx="4">
                  <c:v>2024</c:v>
                </c:pt>
              </c:numCache>
            </c:numRef>
          </c:cat>
          <c:val>
            <c:numRef>
              <c:f>RENTABILIDAD!$C$29:$G$29</c:f>
              <c:numCache>
                <c:formatCode>0%</c:formatCode>
                <c:ptCount val="5"/>
                <c:pt idx="0">
                  <c:v>9.7542761637379849E-2</c:v>
                </c:pt>
                <c:pt idx="1">
                  <c:v>9.7542761637379849E-2</c:v>
                </c:pt>
                <c:pt idx="2">
                  <c:v>9.7542761637379849E-2</c:v>
                </c:pt>
                <c:pt idx="3">
                  <c:v>9.7542761637379849E-2</c:v>
                </c:pt>
                <c:pt idx="4">
                  <c:v>9.7542761637379849E-2</c:v>
                </c:pt>
              </c:numCache>
            </c:numRef>
          </c:val>
          <c:smooth val="0"/>
          <c:extLst>
            <c:ext xmlns:c16="http://schemas.microsoft.com/office/drawing/2014/chart" uri="{C3380CC4-5D6E-409C-BE32-E72D297353CC}">
              <c16:uniqueId val="{00000001-7059-4DEC-A2BA-2E6D499B9523}"/>
            </c:ext>
          </c:extLst>
        </c:ser>
        <c:dLbls>
          <c:showLegendKey val="0"/>
          <c:showVal val="0"/>
          <c:showCatName val="0"/>
          <c:showSerName val="0"/>
          <c:showPercent val="0"/>
          <c:showBubbleSize val="0"/>
        </c:dLbls>
        <c:marker val="1"/>
        <c:smooth val="0"/>
        <c:axId val="175629536"/>
        <c:axId val="175627456"/>
      </c:lineChart>
      <c:catAx>
        <c:axId val="1756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5627456"/>
        <c:crosses val="autoZero"/>
        <c:auto val="1"/>
        <c:lblAlgn val="ctr"/>
        <c:lblOffset val="100"/>
        <c:noMultiLvlLbl val="0"/>
      </c:catAx>
      <c:valAx>
        <c:axId val="175627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562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BO"/>
              <a:t>MAFGEN</a:t>
            </a:r>
            <a:r>
              <a:rPr lang="es-BO" baseline="0"/>
              <a:t> NETO</a:t>
            </a:r>
            <a:endParaRPr lang="es-B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RENTABILIDAD!$B$50</c:f>
              <c:strCache>
                <c:ptCount val="1"/>
                <c:pt idx="0">
                  <c:v>MN=UN/V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RENTABILIDAD!$C$48:$G$49</c:f>
              <c:multiLvlStrCache>
                <c:ptCount val="5"/>
                <c:lvl>
                  <c:pt idx="0">
                    <c:v>2020</c:v>
                  </c:pt>
                  <c:pt idx="1">
                    <c:v>2021</c:v>
                  </c:pt>
                  <c:pt idx="2">
                    <c:v>2022</c:v>
                  </c:pt>
                  <c:pt idx="3">
                    <c:v>2023</c:v>
                  </c:pt>
                  <c:pt idx="4">
                    <c:v>2024</c:v>
                  </c:pt>
                </c:lvl>
                <c:lvl/>
              </c:multiLvlStrCache>
            </c:multiLvlStrRef>
          </c:cat>
          <c:val>
            <c:numRef>
              <c:f>RENTABILIDAD!$C$50:$G$50</c:f>
              <c:numCache>
                <c:formatCode>0.00%</c:formatCode>
                <c:ptCount val="5"/>
                <c:pt idx="0">
                  <c:v>6.160089480532617E-2</c:v>
                </c:pt>
                <c:pt idx="1">
                  <c:v>0.13378798077446657</c:v>
                </c:pt>
                <c:pt idx="2">
                  <c:v>0.12314218092862637</c:v>
                </c:pt>
                <c:pt idx="3">
                  <c:v>0.10082278956044942</c:v>
                </c:pt>
                <c:pt idx="4">
                  <c:v>9.2491779737562244E-2</c:v>
                </c:pt>
              </c:numCache>
            </c:numRef>
          </c:val>
          <c:extLst>
            <c:ext xmlns:c16="http://schemas.microsoft.com/office/drawing/2014/chart" uri="{C3380CC4-5D6E-409C-BE32-E72D297353CC}">
              <c16:uniqueId val="{00000000-E0A8-482B-8B5D-2EE023759E8D}"/>
            </c:ext>
          </c:extLst>
        </c:ser>
        <c:dLbls>
          <c:showLegendKey val="0"/>
          <c:showVal val="0"/>
          <c:showCatName val="0"/>
          <c:showSerName val="0"/>
          <c:showPercent val="0"/>
          <c:showBubbleSize val="0"/>
        </c:dLbls>
        <c:gapWidth val="219"/>
        <c:overlap val="-27"/>
        <c:axId val="1995892128"/>
        <c:axId val="1995895456"/>
      </c:barChart>
      <c:lineChart>
        <c:grouping val="standard"/>
        <c:varyColors val="0"/>
        <c:ser>
          <c:idx val="1"/>
          <c:order val="1"/>
          <c:tx>
            <c:strRef>
              <c:f>RENTABILIDAD!$B$51</c:f>
              <c:strCache>
                <c:ptCount val="1"/>
                <c:pt idx="0">
                  <c:v>MN promedio </c:v>
                </c:pt>
              </c:strCache>
            </c:strRef>
          </c:tx>
          <c:spPr>
            <a:ln w="28575" cap="rnd">
              <a:solidFill>
                <a:schemeClr val="accent2"/>
              </a:solidFill>
              <a:round/>
            </a:ln>
            <a:effectLst/>
          </c:spPr>
          <c:marker>
            <c:symbol val="none"/>
          </c:marker>
          <c:cat>
            <c:multiLvlStrRef>
              <c:f>RENTABILIDAD!$C$48:$G$49</c:f>
              <c:multiLvlStrCache>
                <c:ptCount val="5"/>
                <c:lvl>
                  <c:pt idx="0">
                    <c:v>2020</c:v>
                  </c:pt>
                  <c:pt idx="1">
                    <c:v>2021</c:v>
                  </c:pt>
                  <c:pt idx="2">
                    <c:v>2022</c:v>
                  </c:pt>
                  <c:pt idx="3">
                    <c:v>2023</c:v>
                  </c:pt>
                  <c:pt idx="4">
                    <c:v>2024</c:v>
                  </c:pt>
                </c:lvl>
                <c:lvl/>
              </c:multiLvlStrCache>
            </c:multiLvlStrRef>
          </c:cat>
          <c:val>
            <c:numRef>
              <c:f>RENTABILIDAD!$C$51:$G$51</c:f>
              <c:numCache>
                <c:formatCode>0.00%</c:formatCode>
                <c:ptCount val="5"/>
                <c:pt idx="0">
                  <c:v>0.10236912516128616</c:v>
                </c:pt>
                <c:pt idx="1">
                  <c:v>0.10236912516128616</c:v>
                </c:pt>
                <c:pt idx="2">
                  <c:v>0.10236912516128616</c:v>
                </c:pt>
                <c:pt idx="3">
                  <c:v>0.10236912516128616</c:v>
                </c:pt>
                <c:pt idx="4">
                  <c:v>0.10236912516128616</c:v>
                </c:pt>
              </c:numCache>
            </c:numRef>
          </c:val>
          <c:smooth val="0"/>
          <c:extLst>
            <c:ext xmlns:c16="http://schemas.microsoft.com/office/drawing/2014/chart" uri="{C3380CC4-5D6E-409C-BE32-E72D297353CC}">
              <c16:uniqueId val="{00000001-E0A8-482B-8B5D-2EE023759E8D}"/>
            </c:ext>
          </c:extLst>
        </c:ser>
        <c:dLbls>
          <c:showLegendKey val="0"/>
          <c:showVal val="0"/>
          <c:showCatName val="0"/>
          <c:showSerName val="0"/>
          <c:showPercent val="0"/>
          <c:showBubbleSize val="0"/>
        </c:dLbls>
        <c:marker val="1"/>
        <c:smooth val="0"/>
        <c:axId val="1995892128"/>
        <c:axId val="1995895456"/>
      </c:lineChart>
      <c:catAx>
        <c:axId val="19958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5895456"/>
        <c:crosses val="autoZero"/>
        <c:auto val="1"/>
        <c:lblAlgn val="ctr"/>
        <c:lblOffset val="100"/>
        <c:noMultiLvlLbl val="0"/>
      </c:catAx>
      <c:valAx>
        <c:axId val="1995895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589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RENTABILIDAD SOBRE</a:t>
            </a:r>
            <a:r>
              <a:rPr lang="es-BO" b="1" baseline="0"/>
              <a:t> LOS ACTIVOS</a:t>
            </a:r>
            <a:endParaRPr lang="es-B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RENTABILIDAD!$B$73</c:f>
              <c:strCache>
                <c:ptCount val="1"/>
                <c:pt idx="0">
                  <c:v>ROA= RN/AT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RENTABILIDAD!$C$72:$G$72</c:f>
              <c:numCache>
                <c:formatCode>General</c:formatCode>
                <c:ptCount val="5"/>
                <c:pt idx="0">
                  <c:v>2020</c:v>
                </c:pt>
                <c:pt idx="1">
                  <c:v>2021</c:v>
                </c:pt>
                <c:pt idx="2">
                  <c:v>2022</c:v>
                </c:pt>
                <c:pt idx="3">
                  <c:v>2023</c:v>
                </c:pt>
                <c:pt idx="4">
                  <c:v>2024</c:v>
                </c:pt>
              </c:numCache>
            </c:numRef>
          </c:cat>
          <c:val>
            <c:numRef>
              <c:f>RENTABILIDAD!$C$73:$G$73</c:f>
              <c:numCache>
                <c:formatCode>0.00%</c:formatCode>
                <c:ptCount val="5"/>
                <c:pt idx="0">
                  <c:v>4.9807721231851114E-2</c:v>
                </c:pt>
                <c:pt idx="1">
                  <c:v>0.10196293102103694</c:v>
                </c:pt>
                <c:pt idx="2">
                  <c:v>9.1200611015638047E-2</c:v>
                </c:pt>
                <c:pt idx="3">
                  <c:v>6.7512994238051974E-2</c:v>
                </c:pt>
                <c:pt idx="4">
                  <c:v>6.1994214973821786E-2</c:v>
                </c:pt>
              </c:numCache>
            </c:numRef>
          </c:val>
          <c:extLst>
            <c:ext xmlns:c16="http://schemas.microsoft.com/office/drawing/2014/chart" uri="{C3380CC4-5D6E-409C-BE32-E72D297353CC}">
              <c16:uniqueId val="{00000000-4100-4E2A-941C-3D7BD31EC189}"/>
            </c:ext>
          </c:extLst>
        </c:ser>
        <c:dLbls>
          <c:showLegendKey val="0"/>
          <c:showVal val="0"/>
          <c:showCatName val="0"/>
          <c:showSerName val="0"/>
          <c:showPercent val="0"/>
          <c:showBubbleSize val="0"/>
        </c:dLbls>
        <c:gapWidth val="219"/>
        <c:overlap val="-27"/>
        <c:axId val="600176447"/>
        <c:axId val="600178943"/>
      </c:barChart>
      <c:lineChart>
        <c:grouping val="standard"/>
        <c:varyColors val="0"/>
        <c:ser>
          <c:idx val="1"/>
          <c:order val="1"/>
          <c:tx>
            <c:strRef>
              <c:f>RENTABILIDAD!$B$74</c:f>
              <c:strCache>
                <c:ptCount val="1"/>
                <c:pt idx="0">
                  <c:v>ROA promedio</c:v>
                </c:pt>
              </c:strCache>
            </c:strRef>
          </c:tx>
          <c:spPr>
            <a:ln w="28575" cap="rnd">
              <a:solidFill>
                <a:schemeClr val="accent2"/>
              </a:solidFill>
              <a:round/>
            </a:ln>
            <a:effectLst/>
          </c:spPr>
          <c:marker>
            <c:symbol val="none"/>
          </c:marker>
          <c:cat>
            <c:numRef>
              <c:f>RENTABILIDAD!$C$72:$G$72</c:f>
              <c:numCache>
                <c:formatCode>General</c:formatCode>
                <c:ptCount val="5"/>
                <c:pt idx="0">
                  <c:v>2020</c:v>
                </c:pt>
                <c:pt idx="1">
                  <c:v>2021</c:v>
                </c:pt>
                <c:pt idx="2">
                  <c:v>2022</c:v>
                </c:pt>
                <c:pt idx="3">
                  <c:v>2023</c:v>
                </c:pt>
                <c:pt idx="4">
                  <c:v>2024</c:v>
                </c:pt>
              </c:numCache>
            </c:numRef>
          </c:cat>
          <c:val>
            <c:numRef>
              <c:f>RENTABILIDAD!$C$74:$G$74</c:f>
              <c:numCache>
                <c:formatCode>0.00%</c:formatCode>
                <c:ptCount val="5"/>
                <c:pt idx="0">
                  <c:v>7.449569449607997E-2</c:v>
                </c:pt>
                <c:pt idx="1">
                  <c:v>7.449569449607997E-2</c:v>
                </c:pt>
                <c:pt idx="2">
                  <c:v>7.449569449607997E-2</c:v>
                </c:pt>
                <c:pt idx="3">
                  <c:v>7.449569449607997E-2</c:v>
                </c:pt>
                <c:pt idx="4">
                  <c:v>7.449569449607997E-2</c:v>
                </c:pt>
              </c:numCache>
            </c:numRef>
          </c:val>
          <c:smooth val="0"/>
          <c:extLst>
            <c:ext xmlns:c16="http://schemas.microsoft.com/office/drawing/2014/chart" uri="{C3380CC4-5D6E-409C-BE32-E72D297353CC}">
              <c16:uniqueId val="{00000001-4100-4E2A-941C-3D7BD31EC189}"/>
            </c:ext>
          </c:extLst>
        </c:ser>
        <c:dLbls>
          <c:showLegendKey val="0"/>
          <c:showVal val="0"/>
          <c:showCatName val="0"/>
          <c:showSerName val="0"/>
          <c:showPercent val="0"/>
          <c:showBubbleSize val="0"/>
        </c:dLbls>
        <c:marker val="1"/>
        <c:smooth val="0"/>
        <c:axId val="600176447"/>
        <c:axId val="600178943"/>
      </c:lineChart>
      <c:catAx>
        <c:axId val="6001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0178943"/>
        <c:crosses val="autoZero"/>
        <c:auto val="1"/>
        <c:lblAlgn val="ctr"/>
        <c:lblOffset val="100"/>
        <c:noMultiLvlLbl val="0"/>
      </c:catAx>
      <c:valAx>
        <c:axId val="600178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017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BO" b="1"/>
              <a:t>RENTABILIDAD</a:t>
            </a:r>
            <a:r>
              <a:rPr lang="es-BO" b="1" baseline="0"/>
              <a:t>  SOBRE EL PATRIMNONIO</a:t>
            </a:r>
            <a:endParaRPr lang="es-B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barChart>
        <c:barDir val="col"/>
        <c:grouping val="clustered"/>
        <c:varyColors val="0"/>
        <c:ser>
          <c:idx val="0"/>
          <c:order val="0"/>
          <c:tx>
            <c:strRef>
              <c:f>RENTABILIDAD!$B$95</c:f>
              <c:strCache>
                <c:ptCount val="1"/>
                <c:pt idx="0">
                  <c:v>ROE=RN/PT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RENTABILIDAD!$C$94:$G$94</c:f>
              <c:numCache>
                <c:formatCode>General</c:formatCode>
                <c:ptCount val="5"/>
                <c:pt idx="0">
                  <c:v>2020</c:v>
                </c:pt>
                <c:pt idx="1">
                  <c:v>2021</c:v>
                </c:pt>
                <c:pt idx="2">
                  <c:v>2022</c:v>
                </c:pt>
                <c:pt idx="3">
                  <c:v>2023</c:v>
                </c:pt>
                <c:pt idx="4">
                  <c:v>2024</c:v>
                </c:pt>
              </c:numCache>
            </c:numRef>
          </c:cat>
          <c:val>
            <c:numRef>
              <c:f>RENTABILIDAD!$C$95:$G$95</c:f>
              <c:numCache>
                <c:formatCode>0.00%</c:formatCode>
                <c:ptCount val="5"/>
                <c:pt idx="0">
                  <c:v>7.9086637512693805E-2</c:v>
                </c:pt>
                <c:pt idx="1">
                  <c:v>0.15149653072193714</c:v>
                </c:pt>
                <c:pt idx="2">
                  <c:v>0.13107034600120188</c:v>
                </c:pt>
                <c:pt idx="3">
                  <c:v>0.10298677813026068</c:v>
                </c:pt>
                <c:pt idx="4">
                  <c:v>9.5073676022393708E-2</c:v>
                </c:pt>
              </c:numCache>
            </c:numRef>
          </c:val>
          <c:extLst>
            <c:ext xmlns:c16="http://schemas.microsoft.com/office/drawing/2014/chart" uri="{C3380CC4-5D6E-409C-BE32-E72D297353CC}">
              <c16:uniqueId val="{00000000-A06E-423E-9C0C-6730C5C3EA2C}"/>
            </c:ext>
          </c:extLst>
        </c:ser>
        <c:dLbls>
          <c:showLegendKey val="0"/>
          <c:showVal val="0"/>
          <c:showCatName val="0"/>
          <c:showSerName val="0"/>
          <c:showPercent val="0"/>
          <c:showBubbleSize val="0"/>
        </c:dLbls>
        <c:gapWidth val="219"/>
        <c:overlap val="-27"/>
        <c:axId val="600187263"/>
        <c:axId val="600171871"/>
      </c:barChart>
      <c:lineChart>
        <c:grouping val="standard"/>
        <c:varyColors val="0"/>
        <c:ser>
          <c:idx val="1"/>
          <c:order val="1"/>
          <c:tx>
            <c:strRef>
              <c:f>RENTABILIDAD!$B$96</c:f>
              <c:strCache>
                <c:ptCount val="1"/>
                <c:pt idx="0">
                  <c:v>ROE promedio</c:v>
                </c:pt>
              </c:strCache>
            </c:strRef>
          </c:tx>
          <c:spPr>
            <a:ln w="28575" cap="rnd">
              <a:solidFill>
                <a:schemeClr val="accent2"/>
              </a:solidFill>
              <a:round/>
            </a:ln>
            <a:effectLst/>
          </c:spPr>
          <c:marker>
            <c:symbol val="none"/>
          </c:marker>
          <c:cat>
            <c:numRef>
              <c:f>RENTABILIDAD!$C$94:$G$94</c:f>
              <c:numCache>
                <c:formatCode>General</c:formatCode>
                <c:ptCount val="5"/>
                <c:pt idx="0">
                  <c:v>2020</c:v>
                </c:pt>
                <c:pt idx="1">
                  <c:v>2021</c:v>
                </c:pt>
                <c:pt idx="2">
                  <c:v>2022</c:v>
                </c:pt>
                <c:pt idx="3">
                  <c:v>2023</c:v>
                </c:pt>
                <c:pt idx="4">
                  <c:v>2024</c:v>
                </c:pt>
              </c:numCache>
            </c:numRef>
          </c:cat>
          <c:val>
            <c:numRef>
              <c:f>RENTABILIDAD!$C$96:$G$96</c:f>
              <c:numCache>
                <c:formatCode>0.00%</c:formatCode>
                <c:ptCount val="5"/>
                <c:pt idx="0">
                  <c:v>0.11194279367769744</c:v>
                </c:pt>
                <c:pt idx="1">
                  <c:v>0.11194279367769744</c:v>
                </c:pt>
                <c:pt idx="2">
                  <c:v>0.11194279367769744</c:v>
                </c:pt>
                <c:pt idx="3">
                  <c:v>0.11194279367769744</c:v>
                </c:pt>
                <c:pt idx="4">
                  <c:v>0.11194279367769744</c:v>
                </c:pt>
              </c:numCache>
            </c:numRef>
          </c:val>
          <c:smooth val="0"/>
          <c:extLst>
            <c:ext xmlns:c16="http://schemas.microsoft.com/office/drawing/2014/chart" uri="{C3380CC4-5D6E-409C-BE32-E72D297353CC}">
              <c16:uniqueId val="{00000001-A06E-423E-9C0C-6730C5C3EA2C}"/>
            </c:ext>
          </c:extLst>
        </c:ser>
        <c:dLbls>
          <c:showLegendKey val="0"/>
          <c:showVal val="0"/>
          <c:showCatName val="0"/>
          <c:showSerName val="0"/>
          <c:showPercent val="0"/>
          <c:showBubbleSize val="0"/>
        </c:dLbls>
        <c:marker val="1"/>
        <c:smooth val="0"/>
        <c:axId val="600187263"/>
        <c:axId val="600171871"/>
      </c:lineChart>
      <c:catAx>
        <c:axId val="6001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0171871"/>
        <c:crosses val="autoZero"/>
        <c:auto val="1"/>
        <c:lblAlgn val="ctr"/>
        <c:lblOffset val="100"/>
        <c:noMultiLvlLbl val="0"/>
      </c:catAx>
      <c:valAx>
        <c:axId val="6001718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01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 /><Relationship Id="rId2" Type="http://schemas.openxmlformats.org/officeDocument/2006/relationships/chart" Target="../charts/chart8.xml" /><Relationship Id="rId1" Type="http://schemas.openxmlformats.org/officeDocument/2006/relationships/chart" Target="../charts/chart7.xml" /><Relationship Id="rId4" Type="http://schemas.openxmlformats.org/officeDocument/2006/relationships/chart" Target="../charts/chart10.xml" /></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 /><Relationship Id="rId2" Type="http://schemas.openxmlformats.org/officeDocument/2006/relationships/chart" Target="../charts/chart12.xml" /><Relationship Id="rId1" Type="http://schemas.openxmlformats.org/officeDocument/2006/relationships/chart" Target="../charts/chart11.xml" /><Relationship Id="rId5" Type="http://schemas.openxmlformats.org/officeDocument/2006/relationships/chart" Target="../charts/chart15.xml" /><Relationship Id="rId4"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dr:twoCellAnchor>
    <xdr:from>
      <xdr:col>1</xdr:col>
      <xdr:colOff>469366</xdr:colOff>
      <xdr:row>6</xdr:row>
      <xdr:rowOff>175662</xdr:rowOff>
    </xdr:from>
    <xdr:to>
      <xdr:col>6</xdr:col>
      <xdr:colOff>362017</xdr:colOff>
      <xdr:row>20</xdr:row>
      <xdr:rowOff>53742</xdr:rowOff>
    </xdr:to>
    <xdr:graphicFrame macro="">
      <xdr:nvGraphicFramePr>
        <xdr:cNvPr id="2" name="Gráfico 1">
          <a:extLst>
            <a:ext uri="{FF2B5EF4-FFF2-40B4-BE49-F238E27FC236}">
              <a16:creationId xmlns:a16="http://schemas.microsoft.com/office/drawing/2014/main" id="{5911EFE7-1A7C-4E96-8900-767A8B14B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481263</xdr:colOff>
      <xdr:row>30</xdr:row>
      <xdr:rowOff>116306</xdr:rowOff>
    </xdr:from>
    <xdr:to>
      <xdr:col>6</xdr:col>
      <xdr:colOff>633663</xdr:colOff>
      <xdr:row>45</xdr:row>
      <xdr:rowOff>92243</xdr:rowOff>
    </xdr:to>
    <xdr:graphicFrame macro="">
      <xdr:nvGraphicFramePr>
        <xdr:cNvPr id="3" name="Gráfico 2">
          <a:extLst>
            <a:ext uri="{FF2B5EF4-FFF2-40B4-BE49-F238E27FC236}">
              <a16:creationId xmlns:a16="http://schemas.microsoft.com/office/drawing/2014/main" id="{93E40D02-4897-44E7-9A18-96E49FA0F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272716</xdr:colOff>
      <xdr:row>52</xdr:row>
      <xdr:rowOff>180474</xdr:rowOff>
    </xdr:from>
    <xdr:to>
      <xdr:col>6</xdr:col>
      <xdr:colOff>425116</xdr:colOff>
      <xdr:row>67</xdr:row>
      <xdr:rowOff>156411</xdr:rowOff>
    </xdr:to>
    <xdr:graphicFrame macro="">
      <xdr:nvGraphicFramePr>
        <xdr:cNvPr id="4" name="Gráfico 3">
          <a:extLst>
            <a:ext uri="{FF2B5EF4-FFF2-40B4-BE49-F238E27FC236}">
              <a16:creationId xmlns:a16="http://schemas.microsoft.com/office/drawing/2014/main" id="{CF53A7A8-CFDF-4F0B-A597-9027A6C43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84668</xdr:colOff>
      <xdr:row>6</xdr:row>
      <xdr:rowOff>174130</xdr:rowOff>
    </xdr:from>
    <xdr:to>
      <xdr:col>6</xdr:col>
      <xdr:colOff>691446</xdr:colOff>
      <xdr:row>21</xdr:row>
      <xdr:rowOff>174130</xdr:rowOff>
    </xdr:to>
    <xdr:graphicFrame macro="">
      <xdr:nvGraphicFramePr>
        <xdr:cNvPr id="2" name="Gráfico 1">
          <a:extLst>
            <a:ext uri="{FF2B5EF4-FFF2-40B4-BE49-F238E27FC236}">
              <a16:creationId xmlns:a16="http://schemas.microsoft.com/office/drawing/2014/main" id="{C6EA8A89-D2A5-4359-913D-5B2134F4D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144639</xdr:colOff>
      <xdr:row>29</xdr:row>
      <xdr:rowOff>180622</xdr:rowOff>
    </xdr:from>
    <xdr:to>
      <xdr:col>6</xdr:col>
      <xdr:colOff>476250</xdr:colOff>
      <xdr:row>44</xdr:row>
      <xdr:rowOff>172155</xdr:rowOff>
    </xdr:to>
    <xdr:graphicFrame macro="">
      <xdr:nvGraphicFramePr>
        <xdr:cNvPr id="3" name="Gráfico 2">
          <a:extLst>
            <a:ext uri="{FF2B5EF4-FFF2-40B4-BE49-F238E27FC236}">
              <a16:creationId xmlns:a16="http://schemas.microsoft.com/office/drawing/2014/main" id="{47D828FC-5379-44CA-8703-66C8AB8E6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323653</xdr:colOff>
      <xdr:row>56</xdr:row>
      <xdr:rowOff>182591</xdr:rowOff>
    </xdr:from>
    <xdr:to>
      <xdr:col>6</xdr:col>
      <xdr:colOff>655264</xdr:colOff>
      <xdr:row>71</xdr:row>
      <xdr:rowOff>174124</xdr:rowOff>
    </xdr:to>
    <xdr:graphicFrame macro="">
      <xdr:nvGraphicFramePr>
        <xdr:cNvPr id="4" name="Gráfico 3">
          <a:extLst>
            <a:ext uri="{FF2B5EF4-FFF2-40B4-BE49-F238E27FC236}">
              <a16:creationId xmlns:a16="http://schemas.microsoft.com/office/drawing/2014/main" id="{098AAF9A-2EE6-4D5F-B465-7B746D3B7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152400</xdr:colOff>
      <xdr:row>6</xdr:row>
      <xdr:rowOff>167640</xdr:rowOff>
    </xdr:from>
    <xdr:to>
      <xdr:col>6</xdr:col>
      <xdr:colOff>762000</xdr:colOff>
      <xdr:row>21</xdr:row>
      <xdr:rowOff>167640</xdr:rowOff>
    </xdr:to>
    <xdr:graphicFrame macro="">
      <xdr:nvGraphicFramePr>
        <xdr:cNvPr id="2" name="Gráfico 1">
          <a:extLst>
            <a:ext uri="{FF2B5EF4-FFF2-40B4-BE49-F238E27FC236}">
              <a16:creationId xmlns:a16="http://schemas.microsoft.com/office/drawing/2014/main" id="{301ECF29-06FA-4A3D-A9E6-49C625455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175260</xdr:colOff>
      <xdr:row>31</xdr:row>
      <xdr:rowOff>7620</xdr:rowOff>
    </xdr:from>
    <xdr:to>
      <xdr:col>6</xdr:col>
      <xdr:colOff>480060</xdr:colOff>
      <xdr:row>46</xdr:row>
      <xdr:rowOff>7620</xdr:rowOff>
    </xdr:to>
    <xdr:graphicFrame macro="">
      <xdr:nvGraphicFramePr>
        <xdr:cNvPr id="3" name="Gráfico 2">
          <a:extLst>
            <a:ext uri="{FF2B5EF4-FFF2-40B4-BE49-F238E27FC236}">
              <a16:creationId xmlns:a16="http://schemas.microsoft.com/office/drawing/2014/main" id="{23C19529-3AF5-475A-ACB0-E008D2D64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259080</xdr:colOff>
      <xdr:row>57</xdr:row>
      <xdr:rowOff>0</xdr:rowOff>
    </xdr:from>
    <xdr:to>
      <xdr:col>6</xdr:col>
      <xdr:colOff>563880</xdr:colOff>
      <xdr:row>72</xdr:row>
      <xdr:rowOff>0</xdr:rowOff>
    </xdr:to>
    <xdr:graphicFrame macro="">
      <xdr:nvGraphicFramePr>
        <xdr:cNvPr id="4" name="Gráfico 3">
          <a:extLst>
            <a:ext uri="{FF2B5EF4-FFF2-40B4-BE49-F238E27FC236}">
              <a16:creationId xmlns:a16="http://schemas.microsoft.com/office/drawing/2014/main" id="{930E86AB-8D47-4557-BEE0-6E2795345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266700</xdr:colOff>
      <xdr:row>79</xdr:row>
      <xdr:rowOff>0</xdr:rowOff>
    </xdr:from>
    <xdr:to>
      <xdr:col>6</xdr:col>
      <xdr:colOff>571500</xdr:colOff>
      <xdr:row>94</xdr:row>
      <xdr:rowOff>0</xdr:rowOff>
    </xdr:to>
    <xdr:graphicFrame macro="">
      <xdr:nvGraphicFramePr>
        <xdr:cNvPr id="5" name="Gráfico 4">
          <a:extLst>
            <a:ext uri="{FF2B5EF4-FFF2-40B4-BE49-F238E27FC236}">
              <a16:creationId xmlns:a16="http://schemas.microsoft.com/office/drawing/2014/main" id="{EE6999B0-9304-4064-88FF-64DCA4031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210764</xdr:colOff>
      <xdr:row>7</xdr:row>
      <xdr:rowOff>172667</xdr:rowOff>
    </xdr:from>
    <xdr:to>
      <xdr:col>6</xdr:col>
      <xdr:colOff>672828</xdr:colOff>
      <xdr:row>22</xdr:row>
      <xdr:rowOff>119166</xdr:rowOff>
    </xdr:to>
    <xdr:graphicFrame macro="">
      <xdr:nvGraphicFramePr>
        <xdr:cNvPr id="2" name="Gráfico 1">
          <a:extLst>
            <a:ext uri="{FF2B5EF4-FFF2-40B4-BE49-F238E27FC236}">
              <a16:creationId xmlns:a16="http://schemas.microsoft.com/office/drawing/2014/main" id="{A97680FF-4909-45E2-9511-52F1FF5C5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226979</xdr:colOff>
      <xdr:row>30</xdr:row>
      <xdr:rowOff>2432</xdr:rowOff>
    </xdr:from>
    <xdr:to>
      <xdr:col>6</xdr:col>
      <xdr:colOff>689043</xdr:colOff>
      <xdr:row>44</xdr:row>
      <xdr:rowOff>135376</xdr:rowOff>
    </xdr:to>
    <xdr:graphicFrame macro="">
      <xdr:nvGraphicFramePr>
        <xdr:cNvPr id="3" name="Gráfico 2">
          <a:extLst>
            <a:ext uri="{FF2B5EF4-FFF2-40B4-BE49-F238E27FC236}">
              <a16:creationId xmlns:a16="http://schemas.microsoft.com/office/drawing/2014/main" id="{8064DE1B-6FCE-40C6-8378-C6E6A6746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291830</xdr:colOff>
      <xdr:row>52</xdr:row>
      <xdr:rowOff>26752</xdr:rowOff>
    </xdr:from>
    <xdr:to>
      <xdr:col>6</xdr:col>
      <xdr:colOff>753894</xdr:colOff>
      <xdr:row>66</xdr:row>
      <xdr:rowOff>159697</xdr:rowOff>
    </xdr:to>
    <xdr:graphicFrame macro="">
      <xdr:nvGraphicFramePr>
        <xdr:cNvPr id="4" name="Gráfico 3">
          <a:extLst>
            <a:ext uri="{FF2B5EF4-FFF2-40B4-BE49-F238E27FC236}">
              <a16:creationId xmlns:a16="http://schemas.microsoft.com/office/drawing/2014/main" id="{E17289CE-B226-4ADD-B1D8-848B89786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421531</xdr:colOff>
      <xdr:row>74</xdr:row>
      <xdr:rowOff>180772</xdr:rowOff>
    </xdr:from>
    <xdr:to>
      <xdr:col>7</xdr:col>
      <xdr:colOff>89169</xdr:colOff>
      <xdr:row>89</xdr:row>
      <xdr:rowOff>127270</xdr:rowOff>
    </xdr:to>
    <xdr:graphicFrame macro="">
      <xdr:nvGraphicFramePr>
        <xdr:cNvPr id="5" name="Gráfico 4">
          <a:extLst>
            <a:ext uri="{FF2B5EF4-FFF2-40B4-BE49-F238E27FC236}">
              <a16:creationId xmlns:a16="http://schemas.microsoft.com/office/drawing/2014/main" id="{6EAF5BB1-CFCF-4AB4-85F8-EAD67C7C6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287777</xdr:colOff>
      <xdr:row>97</xdr:row>
      <xdr:rowOff>10539</xdr:rowOff>
    </xdr:from>
    <xdr:to>
      <xdr:col>6</xdr:col>
      <xdr:colOff>749841</xdr:colOff>
      <xdr:row>111</xdr:row>
      <xdr:rowOff>143483</xdr:rowOff>
    </xdr:to>
    <xdr:graphicFrame macro="">
      <xdr:nvGraphicFramePr>
        <xdr:cNvPr id="6" name="Gráfico 5">
          <a:extLst>
            <a:ext uri="{FF2B5EF4-FFF2-40B4-BE49-F238E27FC236}">
              <a16:creationId xmlns:a16="http://schemas.microsoft.com/office/drawing/2014/main" id="{1FF25411-1E0A-4475-97D9-FA7E08AD7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3.xml" /><Relationship Id="rId1" Type="http://schemas.openxmlformats.org/officeDocument/2006/relationships/printerSettings" Target="../printerSettings/printerSettings6.bin" /><Relationship Id="rId4" Type="http://schemas.openxmlformats.org/officeDocument/2006/relationships/comments" Target="../comments1.xml" /></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 /><Relationship Id="rId2" Type="http://schemas.openxmlformats.org/officeDocument/2006/relationships/drawing" Target="../drawings/drawing4.xml" /><Relationship Id="rId1" Type="http://schemas.openxmlformats.org/officeDocument/2006/relationships/printerSettings" Target="../printerSettings/printerSettings7.bin" /><Relationship Id="rId4" Type="http://schemas.openxmlformats.org/officeDocument/2006/relationships/comments" Target="../comments2.xml"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0B0F-8CFA-4BC2-868F-28F044777672}">
  <dimension ref="A1:S91"/>
  <sheetViews>
    <sheetView topLeftCell="A22" zoomScale="87" zoomScaleNormal="70" workbookViewId="0">
      <selection activeCell="C21" sqref="C21"/>
    </sheetView>
  </sheetViews>
  <sheetFormatPr defaultColWidth="10.76171875" defaultRowHeight="15" x14ac:dyDescent="0.2"/>
  <cols>
    <col min="1" max="1" width="60.265625" customWidth="1"/>
    <col min="2" max="2" width="7.6640625" bestFit="1" customWidth="1"/>
    <col min="3" max="4" width="16.140625" customWidth="1"/>
    <col min="5" max="7" width="16.0078125" customWidth="1"/>
    <col min="8" max="8" width="15.33203125" customWidth="1"/>
    <col min="9" max="9" width="13.31640625" bestFit="1" customWidth="1"/>
  </cols>
  <sheetData>
    <row r="1" spans="1:19" x14ac:dyDescent="0.2">
      <c r="A1" s="91" t="s">
        <v>19</v>
      </c>
      <c r="B1" s="91"/>
      <c r="C1" s="91"/>
      <c r="D1" s="91"/>
      <c r="E1" s="91"/>
      <c r="F1" s="91"/>
      <c r="G1" s="91"/>
    </row>
    <row r="2" spans="1:19" x14ac:dyDescent="0.2">
      <c r="A2" s="90" t="s">
        <v>0</v>
      </c>
      <c r="B2" s="90"/>
      <c r="C2" s="90"/>
      <c r="D2" s="90"/>
      <c r="E2" s="90"/>
      <c r="F2" s="90"/>
      <c r="G2" s="90"/>
      <c r="I2" s="2" t="s">
        <v>419</v>
      </c>
    </row>
    <row r="3" spans="1:19" x14ac:dyDescent="0.2">
      <c r="I3" s="90" t="s">
        <v>418</v>
      </c>
      <c r="J3" s="90"/>
      <c r="K3" s="90"/>
      <c r="L3" s="90"/>
      <c r="M3" s="90"/>
      <c r="O3" s="90" t="s">
        <v>420</v>
      </c>
      <c r="P3" s="90"/>
      <c r="Q3" s="90"/>
      <c r="R3" s="90"/>
      <c r="S3" s="2"/>
    </row>
    <row r="4" spans="1:19" x14ac:dyDescent="0.2">
      <c r="A4" s="5"/>
      <c r="B4" s="4" t="s">
        <v>184</v>
      </c>
      <c r="C4" s="6">
        <v>2020</v>
      </c>
      <c r="D4" s="6">
        <v>2021</v>
      </c>
      <c r="E4" s="6">
        <v>2022</v>
      </c>
      <c r="F4" s="6">
        <v>2023</v>
      </c>
      <c r="G4" s="6">
        <v>2024</v>
      </c>
      <c r="I4" s="6">
        <v>2020</v>
      </c>
      <c r="J4" s="6">
        <v>2021</v>
      </c>
      <c r="K4" s="6">
        <v>2022</v>
      </c>
      <c r="L4" s="6">
        <v>2023</v>
      </c>
      <c r="M4" s="6">
        <v>2024</v>
      </c>
      <c r="O4" s="6" t="s">
        <v>421</v>
      </c>
      <c r="P4" s="6" t="s">
        <v>422</v>
      </c>
      <c r="Q4" s="6" t="s">
        <v>423</v>
      </c>
      <c r="R4" s="6" t="s">
        <v>424</v>
      </c>
      <c r="S4" s="2"/>
    </row>
    <row r="5" spans="1:19" x14ac:dyDescent="0.2">
      <c r="A5" s="19" t="s">
        <v>1</v>
      </c>
      <c r="B5" s="22"/>
      <c r="C5" s="8"/>
      <c r="D5" s="8"/>
      <c r="E5" s="8"/>
      <c r="F5" s="8"/>
      <c r="G5" s="8"/>
    </row>
    <row r="6" spans="1:19" x14ac:dyDescent="0.2">
      <c r="A6" s="20" t="s">
        <v>20</v>
      </c>
      <c r="B6" s="23">
        <v>3</v>
      </c>
      <c r="C6" s="8">
        <v>189314286</v>
      </c>
      <c r="D6" s="8">
        <v>296012825</v>
      </c>
      <c r="E6" s="8">
        <v>320186324</v>
      </c>
      <c r="F6" s="8">
        <v>144061536</v>
      </c>
      <c r="G6" s="8">
        <v>116138957</v>
      </c>
      <c r="I6" s="51">
        <f>C6/C$23</f>
        <v>0.21309634530538252</v>
      </c>
      <c r="J6" s="51">
        <f t="shared" ref="J6:M6" si="0">D6/D$23</f>
        <v>0.30346763428569934</v>
      </c>
      <c r="K6" s="51">
        <f t="shared" si="0"/>
        <v>0.30759587515603459</v>
      </c>
      <c r="L6" s="51">
        <f t="shared" si="0"/>
        <v>0.12635566336051934</v>
      </c>
      <c r="M6" s="51">
        <f t="shared" si="0"/>
        <v>9.6619309017203947E-2</v>
      </c>
      <c r="O6" s="51">
        <f>IFERROR((D6-C6)/C6,0)</f>
        <v>0.56360532136491803</v>
      </c>
      <c r="P6" s="51">
        <f t="shared" ref="P6:R6" si="1">IFERROR((E6-D6)/D6,0)</f>
        <v>8.166368805135385E-2</v>
      </c>
      <c r="Q6" s="51">
        <f t="shared" si="1"/>
        <v>-0.55006967755437297</v>
      </c>
      <c r="R6" s="51">
        <f t="shared" si="1"/>
        <v>-0.19382397116743222</v>
      </c>
    </row>
    <row r="7" spans="1:19" x14ac:dyDescent="0.2">
      <c r="A7" s="83" t="s">
        <v>2</v>
      </c>
      <c r="B7" s="23">
        <v>8</v>
      </c>
      <c r="C7" s="8">
        <v>0</v>
      </c>
      <c r="D7" s="8">
        <v>0</v>
      </c>
      <c r="E7" s="8">
        <v>7140830</v>
      </c>
      <c r="F7" s="8">
        <v>85523883</v>
      </c>
      <c r="G7" s="8">
        <v>153641074</v>
      </c>
      <c r="I7" s="51">
        <f>C7/C$23</f>
        <v>0</v>
      </c>
      <c r="J7" s="51">
        <f>D7/D$23</f>
        <v>0</v>
      </c>
      <c r="K7" s="51">
        <f>E7/E$23</f>
        <v>6.8600364492471784E-3</v>
      </c>
      <c r="L7" s="51">
        <f>F7/F$23</f>
        <v>7.5012576359261118E-2</v>
      </c>
      <c r="M7" s="51">
        <f>G7/G$23</f>
        <v>0.1278183891951182</v>
      </c>
      <c r="O7" s="51">
        <f t="shared" ref="O7:O23" si="2">IFERROR((D7-C7)/C7,0)</f>
        <v>0</v>
      </c>
      <c r="P7" s="51">
        <f t="shared" ref="P7:P23" si="3">IFERROR((E7-D7)/D7,0)</f>
        <v>0</v>
      </c>
      <c r="Q7" s="51">
        <f t="shared" ref="Q7:Q23" si="4">IFERROR((F7-E7)/E7,0)</f>
        <v>10.976742619555429</v>
      </c>
      <c r="R7" s="51">
        <f t="shared" ref="R7:R23" si="5">IFERROR((G7-F7)/F7,0)</f>
        <v>0.79646981183022292</v>
      </c>
    </row>
    <row r="8" spans="1:19" x14ac:dyDescent="0.2">
      <c r="A8" s="75" t="s">
        <v>3</v>
      </c>
      <c r="B8" s="23">
        <v>4</v>
      </c>
      <c r="C8" s="8">
        <v>155012353</v>
      </c>
      <c r="D8" s="8">
        <v>73492069</v>
      </c>
      <c r="E8" s="8">
        <v>80506889</v>
      </c>
      <c r="F8" s="8">
        <v>98202419</v>
      </c>
      <c r="G8" s="8">
        <v>130005950</v>
      </c>
      <c r="I8" s="51">
        <f>C8/C$23</f>
        <v>0.1744853312416573</v>
      </c>
      <c r="J8" s="51">
        <f>D8/D$23</f>
        <v>7.5342898802412975E-2</v>
      </c>
      <c r="K8" s="51">
        <f>E8/E$23</f>
        <v>7.7341176439643111E-2</v>
      </c>
      <c r="L8" s="51">
        <f>F8/F$23</f>
        <v>8.6132857811211105E-2</v>
      </c>
      <c r="M8" s="51">
        <f>G8/G$23</f>
        <v>0.10815565579020281</v>
      </c>
      <c r="O8" s="51">
        <f t="shared" si="2"/>
        <v>-0.52589540396177326</v>
      </c>
      <c r="P8" s="51">
        <f t="shared" si="3"/>
        <v>9.5450027403637255E-2</v>
      </c>
      <c r="Q8" s="51">
        <f t="shared" si="4"/>
        <v>0.21980143835889621</v>
      </c>
      <c r="R8" s="51">
        <f t="shared" si="5"/>
        <v>0.32385690010344859</v>
      </c>
    </row>
    <row r="9" spans="1:19" x14ac:dyDescent="0.2">
      <c r="A9" s="75" t="s">
        <v>4</v>
      </c>
      <c r="B9" s="24">
        <v>5</v>
      </c>
      <c r="C9" s="8">
        <v>3999913</v>
      </c>
      <c r="D9" s="8">
        <v>8380208</v>
      </c>
      <c r="E9" s="8">
        <v>5402004</v>
      </c>
      <c r="F9" s="8">
        <v>7126636</v>
      </c>
      <c r="G9" s="8">
        <v>846468</v>
      </c>
      <c r="I9" s="51">
        <f>C9/C$23</f>
        <v>4.5023904949227575E-3</v>
      </c>
      <c r="J9" s="51">
        <f>D9/D$23</f>
        <v>8.5912557896168588E-3</v>
      </c>
      <c r="K9" s="51">
        <f>E9/E$23</f>
        <v>5.1895850116833835E-3</v>
      </c>
      <c r="L9" s="51">
        <f>F9/F$23</f>
        <v>6.2507373190089982E-3</v>
      </c>
      <c r="M9" s="51">
        <f>G9/G$23</f>
        <v>7.0420085884854804E-4</v>
      </c>
      <c r="O9" s="51">
        <f t="shared" si="2"/>
        <v>1.095097568372112</v>
      </c>
      <c r="P9" s="51">
        <f t="shared" si="3"/>
        <v>-0.35538545105324354</v>
      </c>
      <c r="Q9" s="51">
        <f t="shared" si="4"/>
        <v>0.31925781617340526</v>
      </c>
      <c r="R9" s="51">
        <f t="shared" si="5"/>
        <v>-0.88122474614951574</v>
      </c>
    </row>
    <row r="10" spans="1:19" x14ac:dyDescent="0.2">
      <c r="A10" s="75" t="s">
        <v>5</v>
      </c>
      <c r="B10" s="24">
        <v>6</v>
      </c>
      <c r="C10" s="8">
        <v>23753262</v>
      </c>
      <c r="D10" s="8">
        <v>42837389</v>
      </c>
      <c r="E10" s="8">
        <v>46146335</v>
      </c>
      <c r="F10" s="8">
        <v>32812112</v>
      </c>
      <c r="G10" s="8">
        <v>21325607</v>
      </c>
      <c r="I10" s="51">
        <f>C10/C$23</f>
        <v>2.6737196797082821E-2</v>
      </c>
      <c r="J10" s="51">
        <f>D10/D$23</f>
        <v>4.3916209031842589E-2</v>
      </c>
      <c r="K10" s="51">
        <f>E10/E$23</f>
        <v>4.4331756966511003E-2</v>
      </c>
      <c r="L10" s="51">
        <f>F10/F$23</f>
        <v>2.8779341753094021E-2</v>
      </c>
      <c r="M10" s="51">
        <f>G10/G$23</f>
        <v>1.7741380376891516E-2</v>
      </c>
      <c r="O10" s="51">
        <f t="shared" si="2"/>
        <v>0.80343184022472369</v>
      </c>
      <c r="P10" s="51">
        <f t="shared" si="3"/>
        <v>7.7244343720388742E-2</v>
      </c>
      <c r="Q10" s="51">
        <f t="shared" si="4"/>
        <v>-0.2889551900492206</v>
      </c>
      <c r="R10" s="51">
        <f t="shared" si="5"/>
        <v>-0.35006905376892533</v>
      </c>
    </row>
    <row r="11" spans="1:19" x14ac:dyDescent="0.2">
      <c r="A11" s="75" t="s">
        <v>6</v>
      </c>
      <c r="B11" s="24">
        <v>7</v>
      </c>
      <c r="C11" s="12">
        <v>245714352</v>
      </c>
      <c r="D11" s="12">
        <v>258735251</v>
      </c>
      <c r="E11" s="12">
        <v>217018095</v>
      </c>
      <c r="F11" s="12">
        <v>247210164</v>
      </c>
      <c r="G11" s="12">
        <v>266990453</v>
      </c>
      <c r="I11" s="56">
        <f>C11/C$23</f>
        <v>0.27658150637548984</v>
      </c>
      <c r="J11" s="56">
        <f>D11/D$23</f>
        <v>0.26525125905367991</v>
      </c>
      <c r="K11" s="56">
        <f>E11/E$23</f>
        <v>0.2084844537464394</v>
      </c>
      <c r="L11" s="56">
        <f>F11/F$23</f>
        <v>0.21682681671312168</v>
      </c>
      <c r="M11" s="56">
        <f>G11/G$23</f>
        <v>0.22211696875364798</v>
      </c>
      <c r="O11" s="51">
        <f t="shared" si="2"/>
        <v>5.2992016518432751E-2</v>
      </c>
      <c r="P11" s="51">
        <f t="shared" si="3"/>
        <v>-0.1612349142173905</v>
      </c>
      <c r="Q11" s="51">
        <f t="shared" si="4"/>
        <v>0.139122357515856</v>
      </c>
      <c r="R11" s="51">
        <f t="shared" si="5"/>
        <v>8.0014060425120714E-2</v>
      </c>
    </row>
    <row r="12" spans="1:19" x14ac:dyDescent="0.2">
      <c r="A12" s="19" t="s">
        <v>7</v>
      </c>
      <c r="B12" s="22"/>
      <c r="C12" s="9">
        <f>SUM(C6:C11)</f>
        <v>617794166</v>
      </c>
      <c r="D12" s="9">
        <f t="shared" ref="D12:G12" si="6">SUM(D6:D11)</f>
        <v>679457742</v>
      </c>
      <c r="E12" s="9">
        <f t="shared" si="6"/>
        <v>676400477</v>
      </c>
      <c r="F12" s="9">
        <f t="shared" si="6"/>
        <v>614936750</v>
      </c>
      <c r="G12" s="9">
        <f t="shared" si="6"/>
        <v>688948509</v>
      </c>
      <c r="I12" s="57">
        <f>C12/C$23</f>
        <v>0.69540277021453523</v>
      </c>
      <c r="J12" s="57">
        <f>D12/D$23</f>
        <v>0.69656925696325167</v>
      </c>
      <c r="K12" s="57">
        <f>E12/E$23</f>
        <v>0.64980288376955864</v>
      </c>
      <c r="L12" s="57">
        <f>F12/F$23</f>
        <v>0.53935799331621626</v>
      </c>
      <c r="M12" s="57">
        <f>G12/G$23</f>
        <v>0.57315590399191296</v>
      </c>
      <c r="O12" s="61">
        <f t="shared" si="2"/>
        <v>9.9812493211533501E-2</v>
      </c>
      <c r="P12" s="61">
        <f t="shared" si="3"/>
        <v>-4.4995660672006886E-3</v>
      </c>
      <c r="Q12" s="61">
        <f t="shared" si="4"/>
        <v>-9.0868840413310351E-2</v>
      </c>
      <c r="R12" s="61">
        <f t="shared" si="5"/>
        <v>0.12035670172582789</v>
      </c>
    </row>
    <row r="13" spans="1:19" x14ac:dyDescent="0.2">
      <c r="A13" s="19" t="s">
        <v>8</v>
      </c>
      <c r="B13" s="22"/>
      <c r="C13" s="8"/>
      <c r="D13" s="8"/>
      <c r="E13" s="8"/>
      <c r="F13" s="8"/>
      <c r="G13" s="8"/>
      <c r="I13" s="51"/>
      <c r="J13" s="51"/>
      <c r="K13" s="51"/>
      <c r="L13" s="51"/>
      <c r="M13" s="51"/>
      <c r="O13" s="51"/>
      <c r="P13" s="51"/>
      <c r="Q13" s="51"/>
      <c r="R13" s="51"/>
    </row>
    <row r="14" spans="1:19" x14ac:dyDescent="0.2">
      <c r="A14" s="75" t="s">
        <v>3</v>
      </c>
      <c r="B14" s="23">
        <v>4</v>
      </c>
      <c r="C14" s="8"/>
      <c r="D14" s="8"/>
      <c r="E14" s="8"/>
      <c r="F14" s="8"/>
      <c r="G14" s="8"/>
      <c r="I14" s="51"/>
      <c r="J14" s="51"/>
      <c r="K14" s="51"/>
      <c r="L14" s="51"/>
      <c r="M14" s="51"/>
      <c r="O14" s="51"/>
      <c r="P14" s="51"/>
      <c r="Q14" s="51"/>
      <c r="R14" s="51"/>
    </row>
    <row r="15" spans="1:19" x14ac:dyDescent="0.2">
      <c r="A15" s="75" t="s">
        <v>6</v>
      </c>
      <c r="B15" s="23">
        <v>7</v>
      </c>
      <c r="C15" s="8">
        <v>17211103</v>
      </c>
      <c r="D15" s="8">
        <v>19736761</v>
      </c>
      <c r="E15" s="8">
        <v>41077832</v>
      </c>
      <c r="F15" s="8">
        <v>44204071</v>
      </c>
      <c r="G15" s="8">
        <v>34724547</v>
      </c>
      <c r="I15" s="51">
        <f>C15/C$23</f>
        <v>1.9373198005640763E-2</v>
      </c>
      <c r="J15" s="51">
        <f>D15/D$23</f>
        <v>2.0233813075944442E-2</v>
      </c>
      <c r="K15" s="51">
        <f>E15/E$23</f>
        <v>3.9462558942875287E-2</v>
      </c>
      <c r="L15" s="51">
        <f>F15/F$23</f>
        <v>3.8771172857968807E-2</v>
      </c>
      <c r="M15" s="51">
        <f>G15/G$23</f>
        <v>2.8888340516743424E-2</v>
      </c>
      <c r="O15" s="51">
        <f t="shared" si="2"/>
        <v>0.14674585353419825</v>
      </c>
      <c r="P15" s="51">
        <f t="shared" si="3"/>
        <v>1.081285374028697</v>
      </c>
      <c r="Q15" s="51">
        <f t="shared" si="4"/>
        <v>7.6105257940584592E-2</v>
      </c>
      <c r="R15" s="51">
        <f t="shared" si="5"/>
        <v>-0.21444911714126963</v>
      </c>
    </row>
    <row r="16" spans="1:19" x14ac:dyDescent="0.2">
      <c r="A16" s="84" t="s">
        <v>21</v>
      </c>
      <c r="B16" s="23">
        <v>8</v>
      </c>
      <c r="C16" s="8">
        <v>17645872</v>
      </c>
      <c r="D16" s="8">
        <v>18454691</v>
      </c>
      <c r="E16" s="8">
        <v>23548559</v>
      </c>
      <c r="F16" s="8">
        <v>139278979</v>
      </c>
      <c r="G16" s="8">
        <v>79610392</v>
      </c>
      <c r="I16" s="51">
        <f>C16/C$23</f>
        <v>1.9862583603049273E-2</v>
      </c>
      <c r="J16" s="51">
        <f>D16/D$23</f>
        <v>1.8919455328476349E-2</v>
      </c>
      <c r="K16" s="51">
        <f>E16/E$23</f>
        <v>2.2622576516630095E-2</v>
      </c>
      <c r="L16" s="51">
        <f>F16/F$23</f>
        <v>0.12216090618193079</v>
      </c>
      <c r="M16" s="51">
        <f>G16/G$23</f>
        <v>6.6230154500429517E-2</v>
      </c>
      <c r="O16" s="51">
        <f t="shared" si="2"/>
        <v>4.5836159301166871E-2</v>
      </c>
      <c r="P16" s="51">
        <f t="shared" si="3"/>
        <v>0.27602022705229795</v>
      </c>
      <c r="Q16" s="51">
        <f t="shared" si="4"/>
        <v>4.9145436032837511</v>
      </c>
      <c r="R16" s="51">
        <f t="shared" si="5"/>
        <v>-0.4284105715622743</v>
      </c>
    </row>
    <row r="17" spans="1:18" x14ac:dyDescent="0.2">
      <c r="A17" s="74" t="s">
        <v>433</v>
      </c>
      <c r="B17" s="23">
        <v>9</v>
      </c>
      <c r="C17" s="25">
        <v>232616033</v>
      </c>
      <c r="D17" s="25">
        <v>253072936</v>
      </c>
      <c r="E17" s="25">
        <v>296661987</v>
      </c>
      <c r="F17" s="25">
        <v>340471457</v>
      </c>
      <c r="G17" s="25">
        <v>397659375</v>
      </c>
      <c r="I17" s="51">
        <f>C17/C$23</f>
        <v>0.26183774895749945</v>
      </c>
      <c r="J17" s="51">
        <f>D17/D$23</f>
        <v>0.25944634388613463</v>
      </c>
      <c r="K17" s="51">
        <f>E17/E$23</f>
        <v>0.28499656817570124</v>
      </c>
      <c r="L17" s="51">
        <f>F17/F$23</f>
        <v>0.29862583725719505</v>
      </c>
      <c r="M17" s="51">
        <f>G17/G$23</f>
        <v>0.33082416984951213</v>
      </c>
      <c r="O17" s="51">
        <f t="shared" si="2"/>
        <v>8.7942790254702696E-2</v>
      </c>
      <c r="P17" s="51">
        <f t="shared" si="3"/>
        <v>0.17223908525722403</v>
      </c>
      <c r="Q17" s="51">
        <f t="shared" si="4"/>
        <v>0.14767470023046803</v>
      </c>
      <c r="R17" s="51">
        <f t="shared" si="5"/>
        <v>0.16796684956765701</v>
      </c>
    </row>
    <row r="18" spans="1:18" x14ac:dyDescent="0.2">
      <c r="A18" s="85" t="s">
        <v>434</v>
      </c>
      <c r="B18" s="23"/>
      <c r="C18" s="25">
        <f>+C17+C19</f>
        <v>473433455</v>
      </c>
      <c r="D18" s="25">
        <f t="shared" ref="D18:G18" si="7">+D17+D19</f>
        <v>513341807</v>
      </c>
      <c r="E18" s="25">
        <f>+E17+E19</f>
        <v>575494715</v>
      </c>
      <c r="F18" s="25">
        <f t="shared" si="7"/>
        <v>638991287</v>
      </c>
      <c r="G18" s="25">
        <f t="shared" si="7"/>
        <v>696179205</v>
      </c>
      <c r="I18" s="51"/>
      <c r="J18" s="51"/>
      <c r="K18" s="51"/>
      <c r="L18" s="51"/>
      <c r="M18" s="51"/>
      <c r="O18" s="51"/>
      <c r="P18" s="51"/>
      <c r="Q18" s="51"/>
      <c r="R18" s="51"/>
    </row>
    <row r="19" spans="1:18" x14ac:dyDescent="0.2">
      <c r="A19" s="74" t="s">
        <v>435</v>
      </c>
      <c r="B19" s="23"/>
      <c r="C19" s="25">
        <f>+NOTAS!C90</f>
        <v>240817422</v>
      </c>
      <c r="D19" s="25">
        <f>+NOTAS!C102</f>
        <v>260268871</v>
      </c>
      <c r="E19" s="25">
        <f>+NOTAS!C114</f>
        <v>278832728</v>
      </c>
      <c r="F19" s="25">
        <f>+NOTAS!C126</f>
        <v>298519830</v>
      </c>
      <c r="G19" s="25">
        <f>+NOTAS!C138</f>
        <v>298519830</v>
      </c>
      <c r="I19" s="51"/>
      <c r="J19" s="51"/>
      <c r="K19" s="51"/>
      <c r="L19" s="51"/>
      <c r="M19" s="51"/>
      <c r="O19" s="51"/>
      <c r="P19" s="51"/>
      <c r="Q19" s="51"/>
      <c r="R19" s="51"/>
    </row>
    <row r="20" spans="1:18" x14ac:dyDescent="0.2">
      <c r="A20" s="84" t="s">
        <v>9</v>
      </c>
      <c r="B20" s="23">
        <v>10</v>
      </c>
      <c r="C20" s="12">
        <v>3130446</v>
      </c>
      <c r="D20" s="12">
        <v>4712452</v>
      </c>
      <c r="E20" s="12">
        <v>3242932</v>
      </c>
      <c r="F20" s="12">
        <v>1236001</v>
      </c>
      <c r="G20" s="12">
        <v>1083544</v>
      </c>
      <c r="I20" s="56">
        <f>C20/C$23</f>
        <v>3.5236992192752611E-3</v>
      </c>
      <c r="J20" s="56">
        <f>D20/D$23</f>
        <v>4.8311307461928804E-3</v>
      </c>
      <c r="K20" s="56">
        <f>E20/E$23</f>
        <v>3.1154125952347345E-3</v>
      </c>
      <c r="L20" s="56">
        <f>F20/F$23</f>
        <v>1.0840903866890972E-3</v>
      </c>
      <c r="M20" s="56">
        <f>G20/G$23</f>
        <v>9.0143114140190902E-4</v>
      </c>
      <c r="O20" s="51">
        <f t="shared" si="2"/>
        <v>0.50536121690008384</v>
      </c>
      <c r="P20" s="51">
        <f t="shared" si="3"/>
        <v>-0.31183765903610267</v>
      </c>
      <c r="Q20" s="51">
        <f t="shared" si="4"/>
        <v>-0.61886311523029158</v>
      </c>
      <c r="R20" s="51">
        <f t="shared" si="5"/>
        <v>-0.12334698758334338</v>
      </c>
    </row>
    <row r="21" spans="1:18" x14ac:dyDescent="0.2">
      <c r="A21" s="19" t="s">
        <v>22</v>
      </c>
      <c r="B21" s="22"/>
      <c r="C21" s="9">
        <f>SUM(C14:C17)+C20</f>
        <v>270603454</v>
      </c>
      <c r="D21" s="9">
        <f t="shared" ref="D21:G21" si="8">SUM(D14:D17)+D20</f>
        <v>295976840</v>
      </c>
      <c r="E21" s="9">
        <f t="shared" si="8"/>
        <v>364531310</v>
      </c>
      <c r="F21" s="9">
        <f t="shared" si="8"/>
        <v>525190508</v>
      </c>
      <c r="G21" s="9">
        <f>SUM(G14:G17)+G20</f>
        <v>513077858</v>
      </c>
      <c r="I21" s="57">
        <f>C21/C$23</f>
        <v>0.30459722978546477</v>
      </c>
      <c r="J21" s="57">
        <f>D21/D$23</f>
        <v>0.30343074303674833</v>
      </c>
      <c r="K21" s="57">
        <f>E21/E$23</f>
        <v>0.35019711623044131</v>
      </c>
      <c r="L21" s="57">
        <f>F21/F$23</f>
        <v>0.46064200668378369</v>
      </c>
      <c r="M21" s="57">
        <f>G21/G$23</f>
        <v>0.42684409600808698</v>
      </c>
      <c r="O21" s="61">
        <f t="shared" si="2"/>
        <v>9.3765935448850549E-2</v>
      </c>
      <c r="P21" s="61">
        <f t="shared" si="3"/>
        <v>0.23162106197228136</v>
      </c>
      <c r="Q21" s="61">
        <f t="shared" si="4"/>
        <v>0.44072811742837675</v>
      </c>
      <c r="R21" s="61">
        <f t="shared" si="5"/>
        <v>-2.3063345234716238E-2</v>
      </c>
    </row>
    <row r="22" spans="1:18" x14ac:dyDescent="0.2">
      <c r="A22" s="19"/>
      <c r="B22" s="22"/>
      <c r="C22" s="8"/>
      <c r="D22" s="8"/>
      <c r="E22" s="8"/>
      <c r="F22" s="8"/>
      <c r="G22" s="8"/>
      <c r="I22" s="51"/>
      <c r="J22" s="51"/>
      <c r="K22" s="51"/>
      <c r="L22" s="51"/>
      <c r="M22" s="51"/>
      <c r="O22" s="51"/>
      <c r="P22" s="51"/>
      <c r="Q22" s="51"/>
      <c r="R22" s="51"/>
    </row>
    <row r="23" spans="1:18" ht="15.75" thickBot="1" x14ac:dyDescent="0.25">
      <c r="A23" s="64" t="s">
        <v>23</v>
      </c>
      <c r="B23" s="65"/>
      <c r="C23" s="66">
        <f>C12+C21</f>
        <v>888397620</v>
      </c>
      <c r="D23" s="66">
        <f t="shared" ref="D23:G23" si="9">D12+D21</f>
        <v>975434582</v>
      </c>
      <c r="E23" s="66">
        <f t="shared" si="9"/>
        <v>1040931787</v>
      </c>
      <c r="F23" s="66">
        <f>F12+F21</f>
        <v>1140127258</v>
      </c>
      <c r="G23" s="66">
        <f t="shared" si="9"/>
        <v>1202026367</v>
      </c>
      <c r="H23" s="67"/>
      <c r="I23" s="68">
        <f>C23/C$23</f>
        <v>1</v>
      </c>
      <c r="J23" s="68">
        <f>D23/D$23</f>
        <v>1</v>
      </c>
      <c r="K23" s="68">
        <f>E23/E$23</f>
        <v>1</v>
      </c>
      <c r="L23" s="68">
        <f>F23/F$23</f>
        <v>1</v>
      </c>
      <c r="M23" s="68">
        <f>G23/G$23</f>
        <v>1</v>
      </c>
      <c r="N23" s="67"/>
      <c r="O23" s="69">
        <f t="shared" si="2"/>
        <v>9.797072846728247E-2</v>
      </c>
      <c r="P23" s="69">
        <f t="shared" si="3"/>
        <v>6.7146691545123011E-2</v>
      </c>
      <c r="Q23" s="69">
        <f t="shared" si="4"/>
        <v>9.5294881219723959E-2</v>
      </c>
      <c r="R23" s="69">
        <f t="shared" si="5"/>
        <v>5.4291403495240351E-2</v>
      </c>
    </row>
    <row r="24" spans="1:18" ht="15.75" thickTop="1" x14ac:dyDescent="0.2">
      <c r="A24" s="7"/>
      <c r="B24" s="10"/>
      <c r="C24" s="8"/>
      <c r="D24" s="8"/>
      <c r="E24" s="8"/>
      <c r="F24" s="8"/>
      <c r="G24" s="8"/>
      <c r="I24" s="59"/>
      <c r="J24" s="59"/>
      <c r="K24" s="59"/>
      <c r="L24" s="59"/>
      <c r="M24" s="59"/>
    </row>
    <row r="25" spans="1:18" x14ac:dyDescent="0.2">
      <c r="A25" s="20" t="s">
        <v>24</v>
      </c>
      <c r="B25" s="23"/>
      <c r="C25" s="8"/>
      <c r="D25" s="8"/>
      <c r="E25" s="8"/>
      <c r="F25" s="8"/>
      <c r="G25" s="8"/>
      <c r="I25" s="59"/>
      <c r="J25" s="59"/>
      <c r="K25" s="59"/>
      <c r="L25" s="59"/>
      <c r="M25" s="59"/>
    </row>
    <row r="26" spans="1:18" ht="15.75" thickBot="1" x14ac:dyDescent="0.25">
      <c r="A26" s="20" t="s">
        <v>25</v>
      </c>
      <c r="B26" s="23"/>
      <c r="C26" s="29">
        <v>66602824</v>
      </c>
      <c r="D26" s="29">
        <v>0</v>
      </c>
      <c r="E26" s="29">
        <v>139773</v>
      </c>
      <c r="F26" s="29">
        <v>0</v>
      </c>
      <c r="G26" s="29">
        <v>0</v>
      </c>
      <c r="I26" s="59"/>
      <c r="J26" s="59"/>
      <c r="K26" s="59"/>
      <c r="L26" s="59"/>
      <c r="M26" s="59"/>
    </row>
    <row r="27" spans="1:18" ht="15.75" thickTop="1" x14ac:dyDescent="0.2">
      <c r="A27" s="7"/>
      <c r="B27" s="10"/>
      <c r="C27" s="8"/>
      <c r="D27" s="8"/>
      <c r="E27" s="8"/>
      <c r="F27" s="8"/>
      <c r="G27" s="8"/>
      <c r="I27" s="59"/>
      <c r="J27" s="59"/>
      <c r="K27" s="59"/>
      <c r="L27" s="59"/>
      <c r="M27" s="59"/>
    </row>
    <row r="28" spans="1:18" x14ac:dyDescent="0.2">
      <c r="A28" s="19" t="s">
        <v>26</v>
      </c>
      <c r="B28" s="22"/>
      <c r="C28" s="8"/>
      <c r="D28" s="8"/>
      <c r="E28" s="8"/>
      <c r="F28" s="8"/>
      <c r="G28" s="8"/>
      <c r="I28" s="59"/>
      <c r="J28" s="59"/>
      <c r="K28" s="59"/>
      <c r="L28" s="59"/>
      <c r="M28" s="59"/>
    </row>
    <row r="29" spans="1:18" x14ac:dyDescent="0.2">
      <c r="A29" s="75" t="s">
        <v>27</v>
      </c>
      <c r="B29" s="23">
        <v>11</v>
      </c>
      <c r="C29" s="8">
        <v>100024306</v>
      </c>
      <c r="D29" s="8">
        <v>59873420</v>
      </c>
      <c r="E29" s="8">
        <v>52791621</v>
      </c>
      <c r="F29" s="8">
        <v>74793153</v>
      </c>
      <c r="G29" s="8">
        <v>92496321</v>
      </c>
      <c r="I29" s="51">
        <f>C29/C$46</f>
        <v>0.11258956997205823</v>
      </c>
      <c r="J29" s="51">
        <f t="shared" ref="J29:M29" si="10">D29/D$46</f>
        <v>6.1381276720000481E-2</v>
      </c>
      <c r="K29" s="51">
        <f t="shared" si="10"/>
        <v>5.0715735324162986E-2</v>
      </c>
      <c r="L29" s="51">
        <f t="shared" si="10"/>
        <v>6.5600705952071889E-2</v>
      </c>
      <c r="M29" s="51">
        <f t="shared" si="10"/>
        <v>7.6949173873546384E-2</v>
      </c>
      <c r="O29" s="51">
        <f t="shared" ref="O29" si="11">IFERROR((D29-C29)/C29,0)</f>
        <v>-0.40141129297113043</v>
      </c>
      <c r="P29" s="51">
        <f t="shared" ref="P29" si="12">IFERROR((E29-D29)/D29,0)</f>
        <v>-0.11827951368069504</v>
      </c>
      <c r="Q29" s="51">
        <f t="shared" ref="Q29" si="13">IFERROR((F29-E29)/E29,0)</f>
        <v>0.41676181907731152</v>
      </c>
      <c r="R29" s="51">
        <f t="shared" ref="R29" si="14">IFERROR((G29-F29)/F29,0)</f>
        <v>0.23669503543994194</v>
      </c>
    </row>
    <row r="30" spans="1:18" x14ac:dyDescent="0.2">
      <c r="A30" s="75" t="s">
        <v>28</v>
      </c>
      <c r="B30" s="23"/>
      <c r="C30" s="8">
        <v>315768</v>
      </c>
      <c r="D30" s="8">
        <v>338681</v>
      </c>
      <c r="E30" s="8">
        <v>443118</v>
      </c>
      <c r="F30" s="8">
        <v>989415</v>
      </c>
      <c r="G30" s="8">
        <v>3974082</v>
      </c>
      <c r="I30" s="51">
        <f t="shared" ref="I30:I46" si="15">C30/C$46</f>
        <v>3.5543544117103783E-4</v>
      </c>
      <c r="J30" s="51">
        <f t="shared" ref="J30:J46" si="16">D30/D$46</f>
        <v>3.4721036781941775E-4</v>
      </c>
      <c r="K30" s="51">
        <f t="shared" ref="K30:K46" si="17">E30/E$46</f>
        <v>4.2569360022819629E-4</v>
      </c>
      <c r="L30" s="51">
        <f t="shared" ref="L30:L46" si="18">F30/F$46</f>
        <v>8.6781102114479925E-4</v>
      </c>
      <c r="M30" s="51">
        <f t="shared" ref="M30:M46" si="19">G30/G$46</f>
        <v>3.3061025941316189E-3</v>
      </c>
      <c r="O30" s="51">
        <f t="shared" ref="O30:O46" si="20">IFERROR((D30-C30)/C30,0)</f>
        <v>7.2562767601530243E-2</v>
      </c>
      <c r="P30" s="51">
        <f t="shared" ref="P30:P46" si="21">IFERROR((E30-D30)/D30,0)</f>
        <v>0.30836391766883881</v>
      </c>
      <c r="Q30" s="51">
        <f t="shared" ref="Q30:Q46" si="22">IFERROR((F30-E30)/E30,0)</f>
        <v>1.2328476839126372</v>
      </c>
      <c r="R30" s="51">
        <f t="shared" ref="R30:R46" si="23">IFERROR((G30-F30)/F30,0)</f>
        <v>3.0165976865117266</v>
      </c>
    </row>
    <row r="31" spans="1:18" x14ac:dyDescent="0.2">
      <c r="A31" s="87" t="s">
        <v>29</v>
      </c>
      <c r="B31" s="23">
        <v>12</v>
      </c>
      <c r="C31" s="8">
        <v>2440086</v>
      </c>
      <c r="D31" s="8">
        <v>11305679</v>
      </c>
      <c r="E31" s="8">
        <v>7449816</v>
      </c>
      <c r="F31" s="8">
        <v>16492256</v>
      </c>
      <c r="G31" s="8">
        <v>37195218</v>
      </c>
      <c r="I31" s="51">
        <f t="shared" si="15"/>
        <v>2.7466147421691652E-3</v>
      </c>
      <c r="J31" s="51">
        <f t="shared" si="16"/>
        <v>1.1590402071678857E-2</v>
      </c>
      <c r="K31" s="51">
        <f t="shared" si="17"/>
        <v>7.1568724224193572E-3</v>
      </c>
      <c r="L31" s="51">
        <f t="shared" si="18"/>
        <v>1.4465276471795397E-2</v>
      </c>
      <c r="M31" s="51">
        <f t="shared" si="19"/>
        <v>3.0943298784245291E-2</v>
      </c>
      <c r="O31" s="51">
        <f t="shared" si="20"/>
        <v>3.6333116947517423</v>
      </c>
      <c r="P31" s="51">
        <f t="shared" si="21"/>
        <v>-0.3410554111787536</v>
      </c>
      <c r="Q31" s="51">
        <f t="shared" si="22"/>
        <v>1.2137803135003602</v>
      </c>
      <c r="R31" s="51">
        <f t="shared" si="23"/>
        <v>1.2553141304622</v>
      </c>
    </row>
    <row r="32" spans="1:18" x14ac:dyDescent="0.2">
      <c r="A32" s="87" t="s">
        <v>30</v>
      </c>
      <c r="B32" s="23">
        <v>13</v>
      </c>
      <c r="C32" s="8">
        <v>10119105</v>
      </c>
      <c r="D32" s="8">
        <v>10086138</v>
      </c>
      <c r="E32" s="8">
        <v>15139054</v>
      </c>
      <c r="F32" s="8">
        <v>14147110</v>
      </c>
      <c r="G32" s="8">
        <v>15379654</v>
      </c>
      <c r="I32" s="51">
        <f t="shared" si="15"/>
        <v>1.1390288281051451E-2</v>
      </c>
      <c r="J32" s="51">
        <f t="shared" si="16"/>
        <v>1.0340148059257551E-2</v>
      </c>
      <c r="K32" s="51">
        <f t="shared" si="17"/>
        <v>1.4543752231480274E-2</v>
      </c>
      <c r="L32" s="51">
        <f t="shared" si="18"/>
        <v>1.2408360470932623E-2</v>
      </c>
      <c r="M32" s="51">
        <f t="shared" si="19"/>
        <v>1.2794580984047821E-2</v>
      </c>
      <c r="O32" s="51">
        <f t="shared" si="20"/>
        <v>-3.2578968199262681E-3</v>
      </c>
      <c r="P32" s="51">
        <f t="shared" si="21"/>
        <v>0.50097629042949843</v>
      </c>
      <c r="Q32" s="51">
        <f t="shared" si="22"/>
        <v>-6.5522191809342906E-2</v>
      </c>
      <c r="R32" s="51">
        <f t="shared" si="23"/>
        <v>8.7123377142045266E-2</v>
      </c>
    </row>
    <row r="33" spans="1:18" x14ac:dyDescent="0.2">
      <c r="A33" s="75" t="s">
        <v>31</v>
      </c>
      <c r="B33" s="23">
        <v>14</v>
      </c>
      <c r="C33" s="25">
        <v>44189843</v>
      </c>
      <c r="D33" s="25">
        <v>52414079</v>
      </c>
      <c r="E33" s="25">
        <v>63417833</v>
      </c>
      <c r="F33" s="25">
        <v>40743610</v>
      </c>
      <c r="G33" s="25">
        <v>37064161</v>
      </c>
      <c r="I33" s="51">
        <f t="shared" si="15"/>
        <v>4.9741064141977327E-2</v>
      </c>
      <c r="J33" s="51">
        <f t="shared" si="16"/>
        <v>5.3734079114287542E-2</v>
      </c>
      <c r="K33" s="51">
        <f t="shared" si="17"/>
        <v>6.0924100687492981E-2</v>
      </c>
      <c r="L33" s="51">
        <f t="shared" si="18"/>
        <v>3.5736019566335112E-2</v>
      </c>
      <c r="M33" s="51">
        <f t="shared" si="19"/>
        <v>3.0834270362667903E-2</v>
      </c>
      <c r="O33" s="51">
        <f t="shared" si="20"/>
        <v>0.18611145552157765</v>
      </c>
      <c r="P33" s="51">
        <f t="shared" si="21"/>
        <v>0.20993889828723308</v>
      </c>
      <c r="Q33" s="51">
        <f t="shared" si="22"/>
        <v>-0.35753701959510348</v>
      </c>
      <c r="R33" s="51">
        <f t="shared" si="23"/>
        <v>-9.0307388078768674E-2</v>
      </c>
    </row>
    <row r="34" spans="1:18" x14ac:dyDescent="0.2">
      <c r="A34" s="88" t="s">
        <v>187</v>
      </c>
      <c r="B34" s="23"/>
      <c r="C34" s="12">
        <v>0</v>
      </c>
      <c r="D34" s="12">
        <v>0</v>
      </c>
      <c r="E34" s="12">
        <v>0</v>
      </c>
      <c r="F34" s="12">
        <v>10910000</v>
      </c>
      <c r="G34" s="12">
        <v>0</v>
      </c>
      <c r="I34" s="56">
        <f t="shared" si="15"/>
        <v>0</v>
      </c>
      <c r="J34" s="56">
        <f t="shared" si="16"/>
        <v>0</v>
      </c>
      <c r="K34" s="56">
        <f t="shared" si="17"/>
        <v>0</v>
      </c>
      <c r="L34" s="56">
        <f t="shared" si="18"/>
        <v>9.5691072408339885E-3</v>
      </c>
      <c r="M34" s="56">
        <f t="shared" si="19"/>
        <v>0</v>
      </c>
      <c r="O34" s="51">
        <f t="shared" si="20"/>
        <v>0</v>
      </c>
      <c r="P34" s="51">
        <f t="shared" si="21"/>
        <v>0</v>
      </c>
      <c r="Q34" s="51">
        <f t="shared" si="22"/>
        <v>0</v>
      </c>
      <c r="R34" s="51">
        <f t="shared" si="23"/>
        <v>-1</v>
      </c>
    </row>
    <row r="35" spans="1:18" x14ac:dyDescent="0.2">
      <c r="A35" s="19" t="s">
        <v>32</v>
      </c>
      <c r="B35" s="22"/>
      <c r="C35" s="9">
        <f>SUM(C29:C34)</f>
        <v>157089108</v>
      </c>
      <c r="D35" s="9">
        <f>SUM(D29:D34)</f>
        <v>134017997</v>
      </c>
      <c r="E35" s="9">
        <f>SUM(E29:E34)</f>
        <v>139241442</v>
      </c>
      <c r="F35" s="9">
        <f>SUM(F29:F34)</f>
        <v>158075544</v>
      </c>
      <c r="G35" s="9">
        <f>SUM(G29:G34)</f>
        <v>186109436</v>
      </c>
      <c r="I35" s="57">
        <f t="shared" si="15"/>
        <v>0.17682297257842722</v>
      </c>
      <c r="J35" s="57">
        <f t="shared" si="16"/>
        <v>0.13739311633304385</v>
      </c>
      <c r="K35" s="57">
        <f t="shared" si="17"/>
        <v>0.13376615426578381</v>
      </c>
      <c r="L35" s="57">
        <f t="shared" si="18"/>
        <v>0.1386472807231138</v>
      </c>
      <c r="M35" s="57">
        <f t="shared" si="19"/>
        <v>0.15482742659863902</v>
      </c>
      <c r="O35" s="61">
        <f t="shared" si="20"/>
        <v>-0.1468663950908678</v>
      </c>
      <c r="P35" s="61">
        <f t="shared" si="21"/>
        <v>3.897569816686635E-2</v>
      </c>
      <c r="Q35" s="61">
        <f t="shared" si="22"/>
        <v>0.13526218724451303</v>
      </c>
      <c r="R35" s="61">
        <f t="shared" si="23"/>
        <v>0.17734490289022822</v>
      </c>
    </row>
    <row r="36" spans="1:18" x14ac:dyDescent="0.2">
      <c r="A36" s="19" t="s">
        <v>33</v>
      </c>
      <c r="B36" s="22"/>
      <c r="C36" s="8"/>
      <c r="D36" s="8"/>
      <c r="E36" s="8"/>
      <c r="F36" s="8"/>
      <c r="G36" s="8"/>
      <c r="I36" s="51"/>
      <c r="J36" s="51"/>
      <c r="K36" s="51"/>
      <c r="L36" s="51"/>
      <c r="M36" s="51"/>
      <c r="O36" s="51"/>
      <c r="P36" s="51"/>
      <c r="Q36" s="51"/>
      <c r="R36" s="51"/>
    </row>
    <row r="37" spans="1:18" x14ac:dyDescent="0.2">
      <c r="A37" s="76" t="s">
        <v>188</v>
      </c>
      <c r="B37" s="22"/>
      <c r="C37" s="8">
        <v>0</v>
      </c>
      <c r="D37" s="8">
        <v>0</v>
      </c>
      <c r="E37" s="8">
        <v>1168076</v>
      </c>
      <c r="F37" s="8">
        <v>0</v>
      </c>
      <c r="G37" s="8"/>
      <c r="I37" s="51"/>
      <c r="J37" s="51"/>
      <c r="K37" s="51"/>
      <c r="L37" s="51"/>
      <c r="M37" s="51"/>
      <c r="O37" s="51">
        <f t="shared" si="20"/>
        <v>0</v>
      </c>
      <c r="P37" s="51">
        <f t="shared" si="21"/>
        <v>0</v>
      </c>
      <c r="Q37" s="51">
        <f t="shared" si="22"/>
        <v>-1</v>
      </c>
      <c r="R37" s="51">
        <f t="shared" si="23"/>
        <v>0</v>
      </c>
    </row>
    <row r="38" spans="1:18" x14ac:dyDescent="0.2">
      <c r="A38" s="87" t="s">
        <v>29</v>
      </c>
      <c r="B38" s="23">
        <v>12</v>
      </c>
      <c r="C38" s="8">
        <v>18786827</v>
      </c>
      <c r="D38" s="8">
        <v>35973732</v>
      </c>
      <c r="E38" s="8">
        <v>44129798</v>
      </c>
      <c r="F38" s="8">
        <v>113569031</v>
      </c>
      <c r="G38" s="8">
        <v>124948263</v>
      </c>
      <c r="I38" s="51">
        <f t="shared" si="15"/>
        <v>2.1146867773013618E-2</v>
      </c>
      <c r="J38" s="51">
        <f t="shared" si="16"/>
        <v>3.6879697176863062E-2</v>
      </c>
      <c r="K38" s="51">
        <f t="shared" si="17"/>
        <v>4.2394514752194808E-2</v>
      </c>
      <c r="L38" s="51">
        <f t="shared" si="18"/>
        <v>9.9610837477231859E-2</v>
      </c>
      <c r="M38" s="51">
        <f t="shared" si="19"/>
        <v>0.1039464652305966</v>
      </c>
      <c r="O38" s="51">
        <f t="shared" si="20"/>
        <v>0.91483809373450875</v>
      </c>
      <c r="P38" s="51">
        <f t="shared" si="21"/>
        <v>0.22672282097392621</v>
      </c>
      <c r="Q38" s="51">
        <f t="shared" si="22"/>
        <v>1.5735225663167549</v>
      </c>
      <c r="R38" s="51">
        <f t="shared" si="23"/>
        <v>0.10019661081725705</v>
      </c>
    </row>
    <row r="39" spans="1:18" x14ac:dyDescent="0.2">
      <c r="A39" s="87" t="s">
        <v>30</v>
      </c>
      <c r="B39" s="23">
        <v>13</v>
      </c>
      <c r="C39" s="8">
        <v>115857320</v>
      </c>
      <c r="D39" s="8">
        <v>107030184</v>
      </c>
      <c r="E39" s="8">
        <v>93101832</v>
      </c>
      <c r="F39" s="8">
        <v>80003808</v>
      </c>
      <c r="G39" s="8">
        <v>65076000</v>
      </c>
      <c r="I39" s="51">
        <f t="shared" si="15"/>
        <v>0.13041156053524772</v>
      </c>
      <c r="J39" s="51">
        <f t="shared" si="16"/>
        <v>0.10972564021725446</v>
      </c>
      <c r="K39" s="51">
        <f t="shared" si="17"/>
        <v>8.9440857857096073E-2</v>
      </c>
      <c r="L39" s="51">
        <f t="shared" si="18"/>
        <v>7.0170945777002031E-2</v>
      </c>
      <c r="M39" s="51">
        <f t="shared" si="19"/>
        <v>5.4137768776716041E-2</v>
      </c>
      <c r="O39" s="51">
        <f t="shared" si="20"/>
        <v>-7.6189713347417323E-2</v>
      </c>
      <c r="P39" s="51">
        <f t="shared" si="21"/>
        <v>-0.13013480384187698</v>
      </c>
      <c r="Q39" s="51">
        <f t="shared" si="22"/>
        <v>-0.14068492229025095</v>
      </c>
      <c r="R39" s="51">
        <f t="shared" si="23"/>
        <v>-0.18658871837700525</v>
      </c>
    </row>
    <row r="40" spans="1:18" x14ac:dyDescent="0.2">
      <c r="A40" s="77" t="s">
        <v>34</v>
      </c>
      <c r="B40" s="23"/>
      <c r="C40" s="12">
        <v>37163261</v>
      </c>
      <c r="D40" s="12">
        <v>41908071</v>
      </c>
      <c r="E40" s="12">
        <v>38995496</v>
      </c>
      <c r="F40" s="12">
        <v>41068320</v>
      </c>
      <c r="G40" s="12">
        <v>42111365</v>
      </c>
      <c r="I40" s="56">
        <f t="shared" si="15"/>
        <v>4.1831788113074864E-2</v>
      </c>
      <c r="J40" s="56">
        <f t="shared" si="16"/>
        <v>4.2963487017317989E-2</v>
      </c>
      <c r="K40" s="56">
        <f t="shared" si="17"/>
        <v>3.7462105093731754E-2</v>
      </c>
      <c r="L40" s="56">
        <f t="shared" si="18"/>
        <v>3.6020821107322389E-2</v>
      </c>
      <c r="M40" s="56">
        <f t="shared" si="19"/>
        <v>3.5033120370672639E-2</v>
      </c>
      <c r="O40" s="51">
        <f t="shared" si="20"/>
        <v>0.12767474845654692</v>
      </c>
      <c r="P40" s="51">
        <f t="shared" si="21"/>
        <v>-6.949914253987019E-2</v>
      </c>
      <c r="Q40" s="51">
        <f t="shared" si="22"/>
        <v>5.3155472108881496E-2</v>
      </c>
      <c r="R40" s="51">
        <f t="shared" si="23"/>
        <v>2.5397800543095018E-2</v>
      </c>
    </row>
    <row r="41" spans="1:18" x14ac:dyDescent="0.2">
      <c r="A41" s="19" t="s">
        <v>56</v>
      </c>
      <c r="B41" s="22"/>
      <c r="C41" s="9">
        <f>SUM(C38:C40)</f>
        <v>171807408</v>
      </c>
      <c r="D41" s="9">
        <f t="shared" ref="D41:G41" si="24">SUM(D38:D40)</f>
        <v>184911987</v>
      </c>
      <c r="E41" s="9">
        <f>SUM(E37:E40)</f>
        <v>177395202</v>
      </c>
      <c r="F41" s="9">
        <f t="shared" si="24"/>
        <v>234641159</v>
      </c>
      <c r="G41" s="9">
        <f t="shared" si="24"/>
        <v>232135628</v>
      </c>
      <c r="I41" s="57">
        <f t="shared" si="15"/>
        <v>0.19339021642133619</v>
      </c>
      <c r="J41" s="57">
        <f t="shared" si="16"/>
        <v>0.18956882441143552</v>
      </c>
      <c r="K41" s="57">
        <f t="shared" si="17"/>
        <v>0.17041962231863325</v>
      </c>
      <c r="L41" s="57">
        <f t="shared" si="18"/>
        <v>0.20580260436155629</v>
      </c>
      <c r="M41" s="57">
        <f t="shared" si="19"/>
        <v>0.19311735437798527</v>
      </c>
      <c r="O41" s="61">
        <f t="shared" si="20"/>
        <v>7.627481930232019E-2</v>
      </c>
      <c r="P41" s="61">
        <f t="shared" si="21"/>
        <v>-4.0650609633003404E-2</v>
      </c>
      <c r="Q41" s="61">
        <f t="shared" si="22"/>
        <v>0.3227029612672388</v>
      </c>
      <c r="R41" s="61">
        <f t="shared" si="23"/>
        <v>-1.0678139379630323E-2</v>
      </c>
    </row>
    <row r="42" spans="1:18" x14ac:dyDescent="0.2">
      <c r="A42" s="19"/>
      <c r="B42" s="22"/>
      <c r="C42" s="8"/>
      <c r="D42" s="8"/>
      <c r="E42" s="8"/>
      <c r="F42" s="8"/>
      <c r="G42" s="8"/>
      <c r="I42" s="51"/>
      <c r="J42" s="51"/>
      <c r="K42" s="51"/>
      <c r="L42" s="51"/>
      <c r="M42" s="51"/>
      <c r="O42" s="51"/>
      <c r="P42" s="51"/>
      <c r="Q42" s="51"/>
      <c r="R42" s="51"/>
    </row>
    <row r="43" spans="1:18" x14ac:dyDescent="0.2">
      <c r="A43" s="19" t="s">
        <v>35</v>
      </c>
      <c r="B43" s="22"/>
      <c r="C43" s="8">
        <f>SUM(C35+C41)</f>
        <v>328896516</v>
      </c>
      <c r="D43" s="8">
        <f t="shared" ref="D43:G43" si="25">SUM(D35+D41)</f>
        <v>318929984</v>
      </c>
      <c r="E43" s="8">
        <f t="shared" si="25"/>
        <v>316636644</v>
      </c>
      <c r="F43" s="8">
        <f>SUM(F35+F41)</f>
        <v>392716703</v>
      </c>
      <c r="G43" s="8">
        <f t="shared" si="25"/>
        <v>418245064</v>
      </c>
      <c r="I43" s="51">
        <f t="shared" si="15"/>
        <v>0.37021318899976341</v>
      </c>
      <c r="J43" s="51">
        <f t="shared" si="16"/>
        <v>0.32696194074447937</v>
      </c>
      <c r="K43" s="51">
        <f t="shared" si="17"/>
        <v>0.30418577658441703</v>
      </c>
      <c r="L43" s="51">
        <f t="shared" si="18"/>
        <v>0.34444988508467006</v>
      </c>
      <c r="M43" s="51">
        <f t="shared" si="19"/>
        <v>0.34794478097662429</v>
      </c>
      <c r="O43" s="51">
        <f t="shared" si="20"/>
        <v>-3.0302941852993055E-2</v>
      </c>
      <c r="P43" s="51">
        <f t="shared" si="21"/>
        <v>-7.190731869224312E-3</v>
      </c>
      <c r="Q43" s="51">
        <f t="shared" si="22"/>
        <v>0.24027559804480494</v>
      </c>
      <c r="R43" s="51">
        <f t="shared" si="23"/>
        <v>6.500452057421148E-2</v>
      </c>
    </row>
    <row r="44" spans="1:18" x14ac:dyDescent="0.2">
      <c r="A44" s="7"/>
      <c r="B44" s="10"/>
      <c r="C44" s="8"/>
      <c r="D44" s="8"/>
      <c r="E44" s="8"/>
      <c r="F44" s="8"/>
      <c r="G44" s="8"/>
      <c r="I44" s="51"/>
      <c r="J44" s="51"/>
      <c r="K44" s="51">
        <f t="shared" si="17"/>
        <v>0</v>
      </c>
      <c r="L44" s="51"/>
      <c r="M44" s="51"/>
      <c r="O44" s="51">
        <f t="shared" si="20"/>
        <v>0</v>
      </c>
      <c r="P44" s="51">
        <f t="shared" si="21"/>
        <v>0</v>
      </c>
      <c r="Q44" s="51">
        <f t="shared" si="22"/>
        <v>0</v>
      </c>
      <c r="R44" s="51">
        <f t="shared" si="23"/>
        <v>0</v>
      </c>
    </row>
    <row r="45" spans="1:18" x14ac:dyDescent="0.2">
      <c r="A45" s="19" t="s">
        <v>36</v>
      </c>
      <c r="B45" s="26" t="s">
        <v>185</v>
      </c>
      <c r="C45" s="12">
        <v>559501104</v>
      </c>
      <c r="D45" s="12">
        <v>656504598</v>
      </c>
      <c r="E45" s="12">
        <v>724295143</v>
      </c>
      <c r="F45" s="12">
        <v>747410555</v>
      </c>
      <c r="G45" s="12">
        <v>783799303</v>
      </c>
      <c r="I45" s="60">
        <f t="shared" si="15"/>
        <v>0.62978681100023659</v>
      </c>
      <c r="J45" s="60">
        <f t="shared" si="16"/>
        <v>0.67303805925552063</v>
      </c>
      <c r="K45" s="60">
        <f t="shared" si="17"/>
        <v>0.69581422341558297</v>
      </c>
      <c r="L45" s="60">
        <f t="shared" si="18"/>
        <v>0.65555011491532988</v>
      </c>
      <c r="M45" s="60">
        <f t="shared" si="19"/>
        <v>0.65205521902337571</v>
      </c>
      <c r="O45" s="51">
        <f t="shared" si="20"/>
        <v>0.17337498229494111</v>
      </c>
      <c r="P45" s="51">
        <f t="shared" si="21"/>
        <v>0.10325981753443865</v>
      </c>
      <c r="Q45" s="51">
        <f t="shared" si="22"/>
        <v>3.1914354560292832E-2</v>
      </c>
      <c r="R45" s="51">
        <f t="shared" si="23"/>
        <v>4.8686425093367861E-2</v>
      </c>
    </row>
    <row r="46" spans="1:18" ht="15.75" thickBot="1" x14ac:dyDescent="0.25">
      <c r="A46" s="19" t="s">
        <v>189</v>
      </c>
      <c r="B46" s="22"/>
      <c r="C46" s="31">
        <f>C43+C45</f>
        <v>888397620</v>
      </c>
      <c r="D46" s="31">
        <f t="shared" ref="D46:G46" si="26">D43+D45</f>
        <v>975434582</v>
      </c>
      <c r="E46" s="31">
        <f t="shared" si="26"/>
        <v>1040931787</v>
      </c>
      <c r="F46" s="31">
        <f t="shared" si="26"/>
        <v>1140127258</v>
      </c>
      <c r="G46" s="31">
        <f t="shared" si="26"/>
        <v>1202044367</v>
      </c>
      <c r="I46" s="58">
        <f t="shared" si="15"/>
        <v>1</v>
      </c>
      <c r="J46" s="58">
        <f t="shared" si="16"/>
        <v>1</v>
      </c>
      <c r="K46" s="58">
        <f t="shared" si="17"/>
        <v>1</v>
      </c>
      <c r="L46" s="58">
        <f t="shared" si="18"/>
        <v>1</v>
      </c>
      <c r="M46" s="58">
        <f t="shared" si="19"/>
        <v>1</v>
      </c>
      <c r="O46" s="61">
        <f t="shared" si="20"/>
        <v>9.797072846728247E-2</v>
      </c>
      <c r="P46" s="61">
        <f t="shared" si="21"/>
        <v>6.7146691545123011E-2</v>
      </c>
      <c r="Q46" s="61">
        <f t="shared" si="22"/>
        <v>9.5294881219723959E-2</v>
      </c>
      <c r="R46" s="61">
        <f t="shared" si="23"/>
        <v>5.4307191206545119E-2</v>
      </c>
    </row>
    <row r="47" spans="1:18" ht="15.75" thickTop="1" x14ac:dyDescent="0.2">
      <c r="A47" s="20" t="s">
        <v>37</v>
      </c>
      <c r="B47" s="23"/>
      <c r="C47" s="8"/>
      <c r="D47" s="8"/>
      <c r="E47" s="8"/>
      <c r="F47" s="8"/>
      <c r="G47" s="8"/>
      <c r="I47" s="59"/>
      <c r="J47" s="59"/>
      <c r="K47" s="59"/>
      <c r="L47" s="59"/>
      <c r="M47" s="59"/>
    </row>
    <row r="48" spans="1:18" ht="15.75" thickBot="1" x14ac:dyDescent="0.25">
      <c r="A48" s="20" t="s">
        <v>25</v>
      </c>
      <c r="B48" s="23"/>
      <c r="C48" s="30">
        <v>0</v>
      </c>
      <c r="D48" s="30">
        <v>66602824</v>
      </c>
      <c r="E48" s="30">
        <v>139773</v>
      </c>
      <c r="F48" s="30">
        <v>0</v>
      </c>
      <c r="G48" s="30">
        <v>0</v>
      </c>
      <c r="I48" s="59"/>
      <c r="J48" s="59"/>
      <c r="K48" s="59"/>
      <c r="L48" s="59"/>
      <c r="M48" s="59"/>
    </row>
    <row r="49" spans="1:18" ht="15.75" thickTop="1" x14ac:dyDescent="0.2">
      <c r="A49" s="7"/>
      <c r="B49" s="10"/>
      <c r="C49" s="8"/>
      <c r="D49" s="8"/>
      <c r="E49" s="8"/>
      <c r="F49" s="8"/>
      <c r="G49" s="8"/>
      <c r="I49" s="59"/>
      <c r="J49" s="59"/>
      <c r="K49" s="59"/>
      <c r="L49" s="59"/>
      <c r="M49" s="59"/>
    </row>
    <row r="50" spans="1:18" x14ac:dyDescent="0.2">
      <c r="A50" s="7"/>
      <c r="B50" s="7"/>
      <c r="C50" s="7"/>
      <c r="D50" s="7"/>
      <c r="E50" s="7"/>
      <c r="F50" s="7"/>
      <c r="G50" s="7"/>
      <c r="I50" s="59"/>
      <c r="J50" s="59"/>
      <c r="K50" s="59"/>
      <c r="L50" s="59"/>
      <c r="M50" s="59"/>
    </row>
    <row r="51" spans="1:18" x14ac:dyDescent="0.2">
      <c r="A51" s="92" t="s">
        <v>10</v>
      </c>
      <c r="B51" s="92"/>
      <c r="C51" s="92"/>
      <c r="D51" s="92"/>
      <c r="E51" s="92"/>
      <c r="F51" s="92"/>
      <c r="G51" s="92"/>
      <c r="I51" s="59"/>
      <c r="J51" s="59"/>
      <c r="K51" s="59"/>
      <c r="L51" s="59"/>
      <c r="M51" s="59"/>
    </row>
    <row r="52" spans="1:18" x14ac:dyDescent="0.2">
      <c r="A52" s="7"/>
      <c r="B52" s="7"/>
      <c r="C52" s="7"/>
      <c r="D52" s="7"/>
      <c r="E52" s="7"/>
      <c r="F52" s="7"/>
      <c r="G52" s="7"/>
      <c r="I52" s="90" t="s">
        <v>418</v>
      </c>
      <c r="J52" s="90"/>
      <c r="K52" s="90"/>
      <c r="L52" s="90"/>
      <c r="M52" s="90"/>
      <c r="O52" s="90" t="s">
        <v>420</v>
      </c>
      <c r="P52" s="90"/>
      <c r="Q52" s="90"/>
      <c r="R52" s="90"/>
    </row>
    <row r="53" spans="1:18" x14ac:dyDescent="0.2">
      <c r="A53" s="21"/>
      <c r="B53" s="21"/>
      <c r="C53" s="27">
        <v>2020</v>
      </c>
      <c r="D53" s="27">
        <v>2021</v>
      </c>
      <c r="E53" s="27">
        <v>2022</v>
      </c>
      <c r="F53" s="27">
        <v>2023</v>
      </c>
      <c r="G53" s="27">
        <v>2024</v>
      </c>
      <c r="I53" s="27">
        <v>2020</v>
      </c>
      <c r="J53" s="27">
        <v>2021</v>
      </c>
      <c r="K53" s="27">
        <v>2022</v>
      </c>
      <c r="L53" s="27">
        <v>2023</v>
      </c>
      <c r="M53" s="27">
        <v>2024</v>
      </c>
      <c r="O53" s="6" t="s">
        <v>421</v>
      </c>
      <c r="P53" s="6" t="s">
        <v>422</v>
      </c>
      <c r="Q53" s="6" t="s">
        <v>423</v>
      </c>
      <c r="R53" s="6" t="s">
        <v>424</v>
      </c>
    </row>
    <row r="54" spans="1:18" x14ac:dyDescent="0.2">
      <c r="A54" s="64" t="s">
        <v>38</v>
      </c>
      <c r="B54" s="64"/>
      <c r="C54" s="71">
        <v>718318478</v>
      </c>
      <c r="D54" s="71">
        <v>743401376</v>
      </c>
      <c r="E54" s="64">
        <v>770926861</v>
      </c>
      <c r="F54" s="64">
        <v>763452443</v>
      </c>
      <c r="G54" s="64">
        <v>805678961</v>
      </c>
      <c r="H54" s="52"/>
      <c r="I54" s="72">
        <f t="shared" ref="I54:M57" si="27">C54/C$54</f>
        <v>1</v>
      </c>
      <c r="J54" s="72">
        <f t="shared" si="27"/>
        <v>1</v>
      </c>
      <c r="K54" s="72">
        <f t="shared" si="27"/>
        <v>1</v>
      </c>
      <c r="L54" s="72">
        <f t="shared" si="27"/>
        <v>1</v>
      </c>
      <c r="M54" s="72">
        <f t="shared" si="27"/>
        <v>1</v>
      </c>
      <c r="N54" s="52"/>
      <c r="O54" s="73">
        <f>IFERROR((D54-C54)/C54,0)</f>
        <v>3.491890960377049E-2</v>
      </c>
      <c r="P54" s="73">
        <f t="shared" ref="P54:R54" si="28">IFERROR((E54-D54)/D54,0)</f>
        <v>3.702641115369687E-2</v>
      </c>
      <c r="Q54" s="73">
        <f t="shared" si="28"/>
        <v>-9.6953659006051938E-3</v>
      </c>
      <c r="R54" s="73">
        <f t="shared" si="28"/>
        <v>5.5309952030633554E-2</v>
      </c>
    </row>
    <row r="55" spans="1:18" x14ac:dyDescent="0.2">
      <c r="A55" s="20" t="s">
        <v>39</v>
      </c>
      <c r="B55" s="20"/>
      <c r="C55" s="8">
        <v>70658570</v>
      </c>
      <c r="D55" s="8">
        <v>69545372</v>
      </c>
      <c r="E55" s="8">
        <v>75827106</v>
      </c>
      <c r="F55" s="8">
        <v>72403874</v>
      </c>
      <c r="G55" s="8">
        <v>64845717</v>
      </c>
      <c r="I55" s="51">
        <f t="shared" si="27"/>
        <v>9.8366632857243577E-2</v>
      </c>
      <c r="J55" s="51">
        <f t="shared" si="27"/>
        <v>9.355023308431433E-2</v>
      </c>
      <c r="K55" s="51">
        <f t="shared" si="27"/>
        <v>9.8358365541501083E-2</v>
      </c>
      <c r="L55" s="51">
        <f t="shared" si="27"/>
        <v>9.4837438355017484E-2</v>
      </c>
      <c r="M55" s="51">
        <f t="shared" si="27"/>
        <v>8.0485801589648312E-2</v>
      </c>
      <c r="O55" s="62">
        <f t="shared" ref="O55:O86" si="29">IFERROR((D55-C55)/C55,0)</f>
        <v>-1.5754606978318413E-2</v>
      </c>
      <c r="P55" s="62">
        <f t="shared" ref="P55:P84" si="30">IFERROR((E55-D55)/D55,0)</f>
        <v>9.0325694138209511E-2</v>
      </c>
      <c r="Q55" s="62">
        <f t="shared" ref="Q55:Q84" si="31">IFERROR((F55-E55)/E55,0)</f>
        <v>-4.514522814572404E-2</v>
      </c>
      <c r="R55" s="62">
        <f t="shared" ref="R55:R84" si="32">IFERROR((G55-F55)/F55,0)</f>
        <v>-0.10438884803318674</v>
      </c>
    </row>
    <row r="56" spans="1:18" x14ac:dyDescent="0.2">
      <c r="A56" s="20" t="s">
        <v>40</v>
      </c>
      <c r="B56" s="20"/>
      <c r="C56" s="12">
        <v>309297403</v>
      </c>
      <c r="D56" s="12">
        <v>294203372</v>
      </c>
      <c r="E56" s="12">
        <v>294052780</v>
      </c>
      <c r="F56" s="12">
        <v>302701255</v>
      </c>
      <c r="G56" s="12">
        <v>315102139</v>
      </c>
      <c r="I56" s="51">
        <f t="shared" si="27"/>
        <v>0.43058533571511437</v>
      </c>
      <c r="J56" s="51">
        <f t="shared" si="27"/>
        <v>0.39575306355096118</v>
      </c>
      <c r="K56" s="51">
        <f t="shared" si="27"/>
        <v>0.38142759692997646</v>
      </c>
      <c r="L56" s="51">
        <f t="shared" si="27"/>
        <v>0.39648999459682127</v>
      </c>
      <c r="M56" s="51">
        <f t="shared" si="27"/>
        <v>0.39110136202253393</v>
      </c>
      <c r="O56" s="62">
        <f t="shared" si="29"/>
        <v>-4.880102727535672E-2</v>
      </c>
      <c r="P56" s="62">
        <f t="shared" si="30"/>
        <v>-5.1186360977534956E-4</v>
      </c>
      <c r="Q56" s="62">
        <f t="shared" si="31"/>
        <v>2.9411301603746103E-2</v>
      </c>
      <c r="R56" s="62">
        <f t="shared" si="32"/>
        <v>4.096740200168645E-2</v>
      </c>
    </row>
    <row r="57" spans="1:18" x14ac:dyDescent="0.2">
      <c r="A57" s="19" t="s">
        <v>11</v>
      </c>
      <c r="B57" s="19"/>
      <c r="C57" s="9">
        <f>C54-C55-C56</f>
        <v>338362505</v>
      </c>
      <c r="D57" s="9">
        <f t="shared" ref="D57:G57" si="33">D54-D55-D56</f>
        <v>379652632</v>
      </c>
      <c r="E57" s="9">
        <f t="shared" si="33"/>
        <v>401046975</v>
      </c>
      <c r="F57" s="9">
        <f t="shared" si="33"/>
        <v>388347314</v>
      </c>
      <c r="G57" s="9">
        <f t="shared" si="33"/>
        <v>425731105</v>
      </c>
      <c r="I57" s="61">
        <f t="shared" si="27"/>
        <v>0.47104803142764207</v>
      </c>
      <c r="J57" s="61">
        <f t="shared" si="27"/>
        <v>0.5106967033647245</v>
      </c>
      <c r="K57" s="61">
        <f t="shared" si="27"/>
        <v>0.52021403752852247</v>
      </c>
      <c r="L57" s="61">
        <f t="shared" si="27"/>
        <v>0.50867256704816122</v>
      </c>
      <c r="M57" s="61">
        <f t="shared" si="27"/>
        <v>0.52841283638781777</v>
      </c>
      <c r="O57" s="61">
        <f>IFERROR((D57-C57)/C57,0)</f>
        <v>0.12202926266904189</v>
      </c>
      <c r="P57" s="61">
        <f t="shared" si="30"/>
        <v>5.6352415857872942E-2</v>
      </c>
      <c r="Q57" s="61">
        <f t="shared" si="31"/>
        <v>-3.1666268022592613E-2</v>
      </c>
      <c r="R57" s="61">
        <f t="shared" si="32"/>
        <v>9.6263807299050874E-2</v>
      </c>
    </row>
    <row r="58" spans="1:18" x14ac:dyDescent="0.2">
      <c r="A58" s="7"/>
      <c r="B58" s="7"/>
      <c r="C58" s="8"/>
      <c r="D58" s="8"/>
      <c r="E58" s="8"/>
      <c r="F58" s="8"/>
      <c r="G58" s="8"/>
      <c r="I58" s="51"/>
      <c r="J58" s="51"/>
      <c r="K58" s="51"/>
      <c r="L58" s="51"/>
      <c r="M58" s="51"/>
      <c r="O58" s="62"/>
      <c r="P58" s="62"/>
      <c r="Q58" s="62"/>
      <c r="R58" s="62"/>
    </row>
    <row r="59" spans="1:18" x14ac:dyDescent="0.2">
      <c r="A59" s="20" t="s">
        <v>41</v>
      </c>
      <c r="B59" s="20"/>
      <c r="C59" s="8">
        <v>19477175</v>
      </c>
      <c r="D59" s="8">
        <v>9123007</v>
      </c>
      <c r="E59" s="8">
        <v>8062</v>
      </c>
      <c r="F59" s="8">
        <v>171027</v>
      </c>
      <c r="G59" s="8">
        <v>969716</v>
      </c>
      <c r="I59" s="51">
        <f t="shared" ref="I59:M61" si="34">C59/C$54</f>
        <v>2.7114957496610578E-2</v>
      </c>
      <c r="J59" s="51">
        <f t="shared" si="34"/>
        <v>1.2271980244491772E-2</v>
      </c>
      <c r="K59" s="51">
        <f t="shared" si="34"/>
        <v>1.0457541963893251E-5</v>
      </c>
      <c r="L59" s="51">
        <f t="shared" si="34"/>
        <v>2.2401788293183837E-4</v>
      </c>
      <c r="M59" s="51">
        <f t="shared" si="34"/>
        <v>1.2036009961044522E-3</v>
      </c>
      <c r="O59" s="62">
        <f t="shared" si="29"/>
        <v>-0.53160522509039432</v>
      </c>
      <c r="P59" s="62">
        <f t="shared" si="30"/>
        <v>-0.99911630014095132</v>
      </c>
      <c r="Q59" s="62">
        <f t="shared" si="31"/>
        <v>20.213966757628381</v>
      </c>
      <c r="R59" s="62">
        <f t="shared" si="32"/>
        <v>4.669958544557292</v>
      </c>
    </row>
    <row r="60" spans="1:18" x14ac:dyDescent="0.2">
      <c r="A60" s="20" t="s">
        <v>42</v>
      </c>
      <c r="B60" s="20"/>
      <c r="C60" s="12">
        <v>265388</v>
      </c>
      <c r="D60" s="12">
        <v>4259809</v>
      </c>
      <c r="E60" s="12">
        <v>53960</v>
      </c>
      <c r="F60" s="12">
        <v>4361772</v>
      </c>
      <c r="G60" s="12">
        <v>10269500</v>
      </c>
      <c r="H60" s="16"/>
      <c r="I60" s="51">
        <f t="shared" si="34"/>
        <v>3.6945729245183083E-4</v>
      </c>
      <c r="J60" s="51">
        <f t="shared" si="34"/>
        <v>5.7301602304271225E-3</v>
      </c>
      <c r="K60" s="51">
        <f t="shared" si="34"/>
        <v>6.9993669607005686E-5</v>
      </c>
      <c r="L60" s="51">
        <f t="shared" si="34"/>
        <v>5.7132203059830928E-3</v>
      </c>
      <c r="M60" s="51">
        <f t="shared" si="34"/>
        <v>1.2746392169970044E-2</v>
      </c>
      <c r="O60" s="62">
        <f t="shared" si="29"/>
        <v>15.051249491310836</v>
      </c>
      <c r="P60" s="62">
        <f t="shared" si="30"/>
        <v>-0.9873327653892463</v>
      </c>
      <c r="Q60" s="62">
        <f t="shared" si="31"/>
        <v>79.83343217197924</v>
      </c>
      <c r="R60" s="62">
        <f t="shared" si="32"/>
        <v>1.3544330148389232</v>
      </c>
    </row>
    <row r="61" spans="1:18" x14ac:dyDescent="0.2">
      <c r="A61" s="19" t="s">
        <v>12</v>
      </c>
      <c r="B61" s="19"/>
      <c r="C61" s="9">
        <f>C57+C59+C60</f>
        <v>358105068</v>
      </c>
      <c r="D61" s="9">
        <f>D59+D60+D57</f>
        <v>393035448</v>
      </c>
      <c r="E61" s="9">
        <f t="shared" ref="E61" si="35">E59+E60+E57</f>
        <v>401108997</v>
      </c>
      <c r="F61" s="9">
        <f>F57+F59-F60</f>
        <v>384156569</v>
      </c>
      <c r="G61" s="9">
        <f>G59-G60+G57</f>
        <v>416431321</v>
      </c>
      <c r="I61" s="61">
        <f t="shared" si="34"/>
        <v>0.49853244621670445</v>
      </c>
      <c r="J61" s="61">
        <f t="shared" si="34"/>
        <v>0.52869884383964338</v>
      </c>
      <c r="K61" s="61">
        <f t="shared" si="34"/>
        <v>0.52029448874009332</v>
      </c>
      <c r="L61" s="61">
        <f t="shared" si="34"/>
        <v>0.50318336462511004</v>
      </c>
      <c r="M61" s="61">
        <f t="shared" si="34"/>
        <v>0.51687004521395219</v>
      </c>
      <c r="O61" s="61">
        <f t="shared" si="29"/>
        <v>9.7542266561834859E-2</v>
      </c>
      <c r="P61" s="61">
        <f t="shared" si="30"/>
        <v>2.0541528864846816E-2</v>
      </c>
      <c r="Q61" s="61">
        <f t="shared" si="31"/>
        <v>-4.2263893671774209E-2</v>
      </c>
      <c r="R61" s="61">
        <f t="shared" si="32"/>
        <v>8.4014577920701911E-2</v>
      </c>
    </row>
    <row r="62" spans="1:18" x14ac:dyDescent="0.2">
      <c r="A62" s="7"/>
      <c r="B62" s="7"/>
      <c r="C62" s="8"/>
      <c r="D62" s="8"/>
      <c r="E62" s="8"/>
      <c r="F62" s="8"/>
      <c r="G62" s="8"/>
      <c r="I62" s="51"/>
      <c r="J62" s="51"/>
      <c r="K62" s="51"/>
      <c r="L62" s="51"/>
      <c r="M62" s="51"/>
      <c r="O62" s="62"/>
      <c r="P62" s="62"/>
      <c r="Q62" s="62"/>
      <c r="R62" s="62"/>
    </row>
    <row r="63" spans="1:18" x14ac:dyDescent="0.2">
      <c r="A63" s="20" t="s">
        <v>43</v>
      </c>
      <c r="B63" s="20"/>
      <c r="C63" s="12">
        <v>4224159</v>
      </c>
      <c r="D63" s="12">
        <v>1397298</v>
      </c>
      <c r="E63" s="12">
        <v>1645162</v>
      </c>
      <c r="F63" s="12">
        <v>0</v>
      </c>
      <c r="G63" s="12">
        <v>0</v>
      </c>
      <c r="I63" s="51">
        <f>C63/C$54</f>
        <v>5.8806213808688911E-3</v>
      </c>
      <c r="J63" s="51">
        <f>D63/D$54</f>
        <v>1.8796010407169329E-3</v>
      </c>
      <c r="K63" s="51">
        <f>E63/E$54</f>
        <v>2.1340052905485674E-3</v>
      </c>
      <c r="L63" s="51">
        <f>F63/F$54</f>
        <v>0</v>
      </c>
      <c r="M63" s="51">
        <f>G63/G$54</f>
        <v>0</v>
      </c>
      <c r="O63" s="62">
        <f t="shared" si="29"/>
        <v>-0.66921273560015138</v>
      </c>
      <c r="P63" s="62">
        <f t="shared" si="30"/>
        <v>0.17738807326711983</v>
      </c>
      <c r="Q63" s="62">
        <f t="shared" si="31"/>
        <v>-1</v>
      </c>
      <c r="R63" s="62">
        <f t="shared" si="32"/>
        <v>0</v>
      </c>
    </row>
    <row r="64" spans="1:18" x14ac:dyDescent="0.2">
      <c r="A64" s="19" t="s">
        <v>44</v>
      </c>
      <c r="B64" s="19"/>
      <c r="C64" s="9">
        <f>C61-C63</f>
        <v>353880909</v>
      </c>
      <c r="D64" s="9">
        <f>D61+D63</f>
        <v>394432746</v>
      </c>
      <c r="E64" s="9">
        <f>E61+E63</f>
        <v>402754159</v>
      </c>
      <c r="F64" s="9">
        <f>F61-F63</f>
        <v>384156569</v>
      </c>
      <c r="G64" s="9">
        <f>G61+G63</f>
        <v>416431321</v>
      </c>
      <c r="I64" s="61">
        <f t="shared" ref="I64:I84" si="36">C64/C$54</f>
        <v>0.49265182483583558</v>
      </c>
      <c r="J64" s="61">
        <f t="shared" ref="J64:J84" si="37">D64/D$54</f>
        <v>0.53057844488036032</v>
      </c>
      <c r="K64" s="61">
        <f t="shared" ref="K64:K84" si="38">E64/E$54</f>
        <v>0.52242849403064195</v>
      </c>
      <c r="L64" s="61">
        <f t="shared" ref="L64:L84" si="39">F64/F$54</f>
        <v>0.50318336462511004</v>
      </c>
      <c r="M64" s="61">
        <f t="shared" ref="M64:M84" si="40">G64/G$54</f>
        <v>0.51687004521395219</v>
      </c>
      <c r="O64" s="61">
        <f t="shared" si="29"/>
        <v>0.11459176228124812</v>
      </c>
      <c r="P64" s="61">
        <f t="shared" si="30"/>
        <v>2.1097165700334628E-2</v>
      </c>
      <c r="Q64" s="61">
        <f t="shared" si="31"/>
        <v>-4.6176034646485176E-2</v>
      </c>
      <c r="R64" s="61">
        <f t="shared" si="32"/>
        <v>8.4014577920701911E-2</v>
      </c>
    </row>
    <row r="65" spans="1:18" x14ac:dyDescent="0.2">
      <c r="A65" s="7"/>
      <c r="B65" s="7"/>
      <c r="C65" s="8"/>
      <c r="D65" s="8"/>
      <c r="E65" s="8"/>
      <c r="F65" s="8"/>
      <c r="G65" s="8"/>
      <c r="I65" s="51"/>
      <c r="J65" s="51"/>
      <c r="K65" s="51"/>
      <c r="L65" s="51"/>
      <c r="M65" s="51"/>
      <c r="O65" s="62"/>
      <c r="P65" s="62"/>
      <c r="Q65" s="62"/>
      <c r="R65" s="62"/>
    </row>
    <row r="66" spans="1:18" s="52" customFormat="1" x14ac:dyDescent="0.2">
      <c r="A66" s="64" t="s">
        <v>45</v>
      </c>
      <c r="B66" s="64"/>
      <c r="C66" s="71">
        <v>240089572</v>
      </c>
      <c r="D66" s="71">
        <v>247118408</v>
      </c>
      <c r="E66" s="71">
        <v>266050203</v>
      </c>
      <c r="F66" s="71">
        <v>243038580</v>
      </c>
      <c r="G66" s="71">
        <v>278600612</v>
      </c>
      <c r="I66" s="72">
        <f t="shared" si="36"/>
        <v>0.33423833487964372</v>
      </c>
      <c r="J66" s="72">
        <f t="shared" si="37"/>
        <v>0.33241586036558535</v>
      </c>
      <c r="K66" s="72">
        <f t="shared" si="38"/>
        <v>0.34510433668752399</v>
      </c>
      <c r="L66" s="72">
        <f t="shared" si="39"/>
        <v>0.31834147919545003</v>
      </c>
      <c r="M66" s="72">
        <f t="shared" si="40"/>
        <v>0.34579606206199542</v>
      </c>
      <c r="O66" s="73">
        <f t="shared" si="29"/>
        <v>2.9275890416431749E-2</v>
      </c>
      <c r="P66" s="73">
        <f t="shared" si="30"/>
        <v>7.6610217560158442E-2</v>
      </c>
      <c r="Q66" s="73">
        <f t="shared" si="31"/>
        <v>-8.6493536710438065E-2</v>
      </c>
      <c r="R66" s="73">
        <f t="shared" si="32"/>
        <v>0.14632257973199153</v>
      </c>
    </row>
    <row r="67" spans="1:18" s="52" customFormat="1" x14ac:dyDescent="0.2">
      <c r="A67" s="64" t="s">
        <v>46</v>
      </c>
      <c r="B67" s="64"/>
      <c r="C67" s="71">
        <v>41822744</v>
      </c>
      <c r="D67" s="71">
        <v>27449138</v>
      </c>
      <c r="E67" s="71">
        <v>29876284</v>
      </c>
      <c r="F67" s="71">
        <v>30170941</v>
      </c>
      <c r="G67" s="71">
        <v>32336114</v>
      </c>
      <c r="I67" s="72">
        <f t="shared" si="36"/>
        <v>5.8223121471754763E-2</v>
      </c>
      <c r="J67" s="72">
        <f t="shared" si="37"/>
        <v>3.6923711585919908E-2</v>
      </c>
      <c r="K67" s="72">
        <f t="shared" si="38"/>
        <v>3.8753720374000565E-2</v>
      </c>
      <c r="L67" s="72">
        <f t="shared" si="39"/>
        <v>3.951908370538805E-2</v>
      </c>
      <c r="M67" s="72">
        <f t="shared" si="40"/>
        <v>4.0135234460962919E-2</v>
      </c>
      <c r="O67" s="73">
        <f t="shared" si="29"/>
        <v>-0.34367917131405823</v>
      </c>
      <c r="P67" s="73">
        <f t="shared" si="30"/>
        <v>8.8423396027955417E-2</v>
      </c>
      <c r="Q67" s="73">
        <f t="shared" si="31"/>
        <v>9.8625719316364786E-3</v>
      </c>
      <c r="R67" s="73">
        <f t="shared" si="32"/>
        <v>7.1763522390634091E-2</v>
      </c>
    </row>
    <row r="68" spans="1:18" x14ac:dyDescent="0.2">
      <c r="A68" s="20" t="s">
        <v>47</v>
      </c>
      <c r="B68" s="20"/>
      <c r="C68" s="12">
        <v>25852614</v>
      </c>
      <c r="D68" s="12">
        <v>30893618</v>
      </c>
      <c r="E68" s="12">
        <v>27061986</v>
      </c>
      <c r="F68" s="12">
        <v>30612187</v>
      </c>
      <c r="G68" s="12">
        <v>28842996</v>
      </c>
      <c r="I68" s="51">
        <f t="shared" si="36"/>
        <v>3.5990462158207212E-2</v>
      </c>
      <c r="J68" s="51">
        <f t="shared" si="37"/>
        <v>4.1557117053278095E-2</v>
      </c>
      <c r="K68" s="51">
        <f t="shared" si="38"/>
        <v>3.5103182116260442E-2</v>
      </c>
      <c r="L68" s="51">
        <f t="shared" si="39"/>
        <v>4.0097045049340418E-2</v>
      </c>
      <c r="M68" s="51">
        <f t="shared" si="40"/>
        <v>3.579961423368979E-2</v>
      </c>
      <c r="O68" s="62">
        <f t="shared" si="29"/>
        <v>0.19499010815695464</v>
      </c>
      <c r="P68" s="62">
        <f t="shared" si="30"/>
        <v>-0.12402665171816393</v>
      </c>
      <c r="Q68" s="62">
        <f t="shared" si="31"/>
        <v>0.13118774800932939</v>
      </c>
      <c r="R68" s="62">
        <f t="shared" si="32"/>
        <v>-5.7793681973783838E-2</v>
      </c>
    </row>
    <row r="69" spans="1:18" x14ac:dyDescent="0.2">
      <c r="A69" s="19" t="s">
        <v>48</v>
      </c>
      <c r="B69" s="19"/>
      <c r="C69" s="9">
        <v>46115979</v>
      </c>
      <c r="D69" s="9">
        <v>88971582</v>
      </c>
      <c r="E69" s="9">
        <f>E64-E66-E67-E68</f>
        <v>79765686</v>
      </c>
      <c r="F69" s="9">
        <f>F64-F66-F67-F68</f>
        <v>80334861</v>
      </c>
      <c r="G69" s="9">
        <f>G64-G66-G67-G68</f>
        <v>76651599</v>
      </c>
      <c r="I69" s="61">
        <f t="shared" si="36"/>
        <v>6.419990632622985E-2</v>
      </c>
      <c r="J69" s="61">
        <f t="shared" si="37"/>
        <v>0.11968175587557696</v>
      </c>
      <c r="K69" s="61">
        <f t="shared" si="38"/>
        <v>0.10346725485285692</v>
      </c>
      <c r="L69" s="61">
        <f t="shared" si="39"/>
        <v>0.10522575667493149</v>
      </c>
      <c r="M69" s="61">
        <f t="shared" si="40"/>
        <v>9.5139134457304014E-2</v>
      </c>
      <c r="O69" s="61">
        <f t="shared" si="29"/>
        <v>0.92930051425342175</v>
      </c>
      <c r="P69" s="61">
        <f t="shared" si="30"/>
        <v>-0.10347007205064647</v>
      </c>
      <c r="Q69" s="61">
        <f t="shared" si="31"/>
        <v>7.1355870994452425E-3</v>
      </c>
      <c r="R69" s="61">
        <f t="shared" si="32"/>
        <v>-4.5848862550468591E-2</v>
      </c>
    </row>
    <row r="70" spans="1:18" x14ac:dyDescent="0.2">
      <c r="A70" s="7"/>
      <c r="B70" s="7"/>
      <c r="C70" s="8"/>
      <c r="D70" s="8"/>
      <c r="E70" s="8"/>
      <c r="F70" s="8"/>
      <c r="G70" s="8"/>
      <c r="I70" s="51"/>
      <c r="J70" s="51"/>
      <c r="K70" s="51"/>
      <c r="L70" s="51"/>
      <c r="M70" s="51"/>
      <c r="O70" s="62"/>
      <c r="P70" s="62"/>
      <c r="Q70" s="62"/>
      <c r="R70" s="62"/>
    </row>
    <row r="71" spans="1:18" x14ac:dyDescent="0.2">
      <c r="A71" s="20" t="s">
        <v>49</v>
      </c>
      <c r="B71" s="20"/>
      <c r="C71" s="8">
        <v>4849859</v>
      </c>
      <c r="D71" s="8">
        <v>1796965</v>
      </c>
      <c r="E71" s="8">
        <v>0</v>
      </c>
      <c r="F71" s="8">
        <v>0</v>
      </c>
      <c r="G71" s="8">
        <v>0</v>
      </c>
      <c r="I71" s="51">
        <f t="shared" si="36"/>
        <v>6.7516834782022691E-3</v>
      </c>
      <c r="J71" s="51">
        <f t="shared" si="37"/>
        <v>2.4172204383974666E-3</v>
      </c>
      <c r="K71" s="51">
        <f t="shared" si="38"/>
        <v>0</v>
      </c>
      <c r="L71" s="51">
        <f t="shared" si="39"/>
        <v>0</v>
      </c>
      <c r="M71" s="51">
        <f t="shared" si="40"/>
        <v>0</v>
      </c>
      <c r="O71" s="62">
        <f t="shared" si="29"/>
        <v>-0.62948098078727655</v>
      </c>
      <c r="P71" s="62">
        <f t="shared" si="30"/>
        <v>-1</v>
      </c>
      <c r="Q71" s="62">
        <f t="shared" si="31"/>
        <v>0</v>
      </c>
      <c r="R71" s="62">
        <f t="shared" si="32"/>
        <v>0</v>
      </c>
    </row>
    <row r="72" spans="1:18" x14ac:dyDescent="0.2">
      <c r="A72" s="20" t="s">
        <v>50</v>
      </c>
      <c r="B72" s="20"/>
      <c r="C72" s="12">
        <v>658224</v>
      </c>
      <c r="D72" s="12">
        <v>1499963</v>
      </c>
      <c r="E72" s="12">
        <v>647199</v>
      </c>
      <c r="F72" s="12">
        <v>352829</v>
      </c>
      <c r="G72" s="12">
        <v>6743856</v>
      </c>
      <c r="I72" s="51">
        <f t="shared" si="36"/>
        <v>9.1634006385674517E-4</v>
      </c>
      <c r="J72" s="51">
        <f t="shared" si="37"/>
        <v>2.0177027490462973E-3</v>
      </c>
      <c r="K72" s="51">
        <f t="shared" si="38"/>
        <v>8.3950765337258105E-4</v>
      </c>
      <c r="L72" s="51">
        <f t="shared" si="39"/>
        <v>4.6214928413032796E-4</v>
      </c>
      <c r="M72" s="51">
        <f t="shared" si="40"/>
        <v>8.3704010237894248E-3</v>
      </c>
      <c r="O72" s="62">
        <f t="shared" si="29"/>
        <v>1.2788032645421619</v>
      </c>
      <c r="P72" s="62">
        <f t="shared" si="30"/>
        <v>-0.56852335690947042</v>
      </c>
      <c r="Q72" s="62">
        <f t="shared" si="31"/>
        <v>-0.45483692032898693</v>
      </c>
      <c r="R72" s="62">
        <f t="shared" si="32"/>
        <v>18.113666960482274</v>
      </c>
    </row>
    <row r="73" spans="1:18" x14ac:dyDescent="0.2">
      <c r="A73" s="19" t="s">
        <v>51</v>
      </c>
      <c r="B73" s="19"/>
      <c r="C73" s="9">
        <v>40607896</v>
      </c>
      <c r="D73" s="9">
        <v>85674654</v>
      </c>
      <c r="E73" s="9">
        <f>E69+E72</f>
        <v>80412885</v>
      </c>
      <c r="F73" s="9">
        <f>F69-F72</f>
        <v>79982032</v>
      </c>
      <c r="G73" s="9">
        <f>G69-G72</f>
        <v>69907743</v>
      </c>
      <c r="I73" s="61">
        <f t="shared" si="36"/>
        <v>5.6531882784170838E-2</v>
      </c>
      <c r="J73" s="61">
        <f t="shared" si="37"/>
        <v>0.1152468326881332</v>
      </c>
      <c r="K73" s="61">
        <f t="shared" si="38"/>
        <v>0.1043067625062295</v>
      </c>
      <c r="L73" s="61">
        <f t="shared" si="39"/>
        <v>0.10476360739080116</v>
      </c>
      <c r="M73" s="61">
        <f t="shared" si="40"/>
        <v>8.67687334335146E-2</v>
      </c>
      <c r="O73" s="61">
        <f t="shared" si="29"/>
        <v>1.1098028324343621</v>
      </c>
      <c r="P73" s="61">
        <f t="shared" si="30"/>
        <v>-6.1415701778031108E-2</v>
      </c>
      <c r="Q73" s="61">
        <f t="shared" si="31"/>
        <v>-5.3580094782073795E-3</v>
      </c>
      <c r="R73" s="61">
        <f t="shared" si="32"/>
        <v>-0.1259569024202836</v>
      </c>
    </row>
    <row r="74" spans="1:18" x14ac:dyDescent="0.2">
      <c r="A74" s="7"/>
      <c r="B74" s="7"/>
      <c r="C74" s="8"/>
      <c r="D74" s="8"/>
      <c r="E74" s="8"/>
      <c r="F74" s="8"/>
      <c r="G74" s="8"/>
      <c r="I74" s="51"/>
      <c r="J74" s="51"/>
      <c r="K74" s="51"/>
      <c r="L74" s="51"/>
      <c r="M74" s="51"/>
      <c r="O74" s="62"/>
      <c r="P74" s="62"/>
      <c r="Q74" s="62"/>
      <c r="R74" s="62"/>
    </row>
    <row r="75" spans="1:18" x14ac:dyDescent="0.2">
      <c r="A75" s="20" t="s">
        <v>41</v>
      </c>
      <c r="B75" s="20"/>
      <c r="C75" s="8">
        <v>14464209</v>
      </c>
      <c r="D75" s="8">
        <v>16778422</v>
      </c>
      <c r="E75" s="8">
        <v>13728953</v>
      </c>
      <c r="F75" s="8">
        <v>8184934</v>
      </c>
      <c r="G75" s="8">
        <v>19748805</v>
      </c>
      <c r="I75" s="51">
        <f t="shared" si="36"/>
        <v>2.0136206213534159E-2</v>
      </c>
      <c r="J75" s="51">
        <f t="shared" si="37"/>
        <v>2.2569802184493132E-2</v>
      </c>
      <c r="K75" s="51">
        <f t="shared" si="38"/>
        <v>1.7808372874946434E-2</v>
      </c>
      <c r="L75" s="51">
        <f t="shared" si="39"/>
        <v>1.0720948076133146E-2</v>
      </c>
      <c r="M75" s="51">
        <f t="shared" si="40"/>
        <v>2.4512002864624884E-2</v>
      </c>
      <c r="O75" s="62">
        <f t="shared" si="29"/>
        <v>0.15999582140993676</v>
      </c>
      <c r="P75" s="62">
        <f t="shared" si="30"/>
        <v>-0.18174945176608384</v>
      </c>
      <c r="Q75" s="62">
        <f t="shared" si="31"/>
        <v>-0.40381950466288291</v>
      </c>
      <c r="R75" s="62">
        <f t="shared" si="32"/>
        <v>1.4128239763448307</v>
      </c>
    </row>
    <row r="76" spans="1:18" x14ac:dyDescent="0.2">
      <c r="A76" s="20" t="s">
        <v>13</v>
      </c>
      <c r="B76" s="20"/>
      <c r="C76" s="8">
        <v>359218</v>
      </c>
      <c r="D76" s="8">
        <v>15945</v>
      </c>
      <c r="E76" s="8">
        <v>2345806</v>
      </c>
      <c r="F76" s="8">
        <v>158810</v>
      </c>
      <c r="G76" s="8">
        <v>105887</v>
      </c>
      <c r="I76" s="51">
        <f t="shared" si="36"/>
        <v>5.0008180354786864E-4</v>
      </c>
      <c r="J76" s="51">
        <f t="shared" si="37"/>
        <v>2.1448709290524638E-5</v>
      </c>
      <c r="K76" s="51">
        <f t="shared" si="38"/>
        <v>3.0428385864738989E-3</v>
      </c>
      <c r="L76" s="51">
        <f t="shared" si="39"/>
        <v>2.0801557642012811E-4</v>
      </c>
      <c r="M76" s="51">
        <f t="shared" si="40"/>
        <v>1.3142579752681416E-4</v>
      </c>
      <c r="O76" s="62">
        <f t="shared" si="29"/>
        <v>-0.95561191254335809</v>
      </c>
      <c r="P76" s="62">
        <f t="shared" si="30"/>
        <v>146.11859517089997</v>
      </c>
      <c r="Q76" s="62">
        <f t="shared" si="31"/>
        <v>-0.9323004545132888</v>
      </c>
      <c r="R76" s="62">
        <f t="shared" si="32"/>
        <v>-0.3332472766198602</v>
      </c>
    </row>
    <row r="77" spans="1:18" x14ac:dyDescent="0.2">
      <c r="A77" s="20" t="s">
        <v>14</v>
      </c>
      <c r="B77" s="20"/>
      <c r="C77" s="8">
        <v>3666417</v>
      </c>
      <c r="D77" s="8">
        <v>7767279</v>
      </c>
      <c r="E77" s="8">
        <v>8409230</v>
      </c>
      <c r="F77" s="8">
        <v>9552664</v>
      </c>
      <c r="G77" s="8">
        <v>12474329</v>
      </c>
      <c r="I77" s="51">
        <f t="shared" si="36"/>
        <v>5.104166344444226E-3</v>
      </c>
      <c r="J77" s="51">
        <f t="shared" si="37"/>
        <v>1.0448297851953397E-2</v>
      </c>
      <c r="K77" s="51">
        <f t="shared" si="38"/>
        <v>1.0907947855250564E-2</v>
      </c>
      <c r="L77" s="51">
        <f t="shared" si="39"/>
        <v>1.2512454557696661E-2</v>
      </c>
      <c r="M77" s="51">
        <f t="shared" si="40"/>
        <v>1.5483002044036248E-2</v>
      </c>
      <c r="O77" s="62">
        <f t="shared" si="29"/>
        <v>1.1184930683007415</v>
      </c>
      <c r="P77" s="62">
        <f t="shared" si="30"/>
        <v>8.26481191161023E-2</v>
      </c>
      <c r="Q77" s="62">
        <f t="shared" si="31"/>
        <v>0.13597368605686846</v>
      </c>
      <c r="R77" s="62">
        <f t="shared" si="32"/>
        <v>0.30584819061991503</v>
      </c>
    </row>
    <row r="78" spans="1:18" s="52" customFormat="1" x14ac:dyDescent="0.2">
      <c r="A78" s="64" t="s">
        <v>52</v>
      </c>
      <c r="B78" s="64"/>
      <c r="C78" s="71">
        <v>12499279</v>
      </c>
      <c r="D78" s="71">
        <v>13048454</v>
      </c>
      <c r="E78" s="71">
        <v>10320151</v>
      </c>
      <c r="F78" s="71">
        <v>15295929</v>
      </c>
      <c r="G78" s="71">
        <v>29530033</v>
      </c>
      <c r="I78" s="72">
        <f t="shared" si="36"/>
        <v>1.740074825139052E-2</v>
      </c>
      <c r="J78" s="72">
        <f t="shared" si="37"/>
        <v>1.7552367296129405E-2</v>
      </c>
      <c r="K78" s="72">
        <f t="shared" si="38"/>
        <v>1.3386679751453101E-2</v>
      </c>
      <c r="L78" s="72">
        <f t="shared" si="39"/>
        <v>2.0035208663285398E-2</v>
      </c>
      <c r="M78" s="72">
        <f t="shared" si="40"/>
        <v>3.6652357116720095E-2</v>
      </c>
      <c r="O78" s="73">
        <f t="shared" si="29"/>
        <v>4.3936534259296077E-2</v>
      </c>
      <c r="P78" s="73">
        <f t="shared" si="30"/>
        <v>-0.20909013435614671</v>
      </c>
      <c r="Q78" s="73">
        <f t="shared" si="31"/>
        <v>0.48214197641100404</v>
      </c>
      <c r="R78" s="73">
        <f t="shared" si="32"/>
        <v>0.93058120235782993</v>
      </c>
    </row>
    <row r="79" spans="1:18" x14ac:dyDescent="0.2">
      <c r="A79" s="20" t="s">
        <v>15</v>
      </c>
      <c r="B79" s="20"/>
      <c r="C79" s="12">
        <v>1633877</v>
      </c>
      <c r="D79" s="12">
        <v>1394994</v>
      </c>
      <c r="E79" s="12">
        <v>4907366</v>
      </c>
      <c r="F79" s="12">
        <v>5291486</v>
      </c>
      <c r="G79" s="12">
        <v>2023724</v>
      </c>
      <c r="I79" s="51">
        <f t="shared" si="36"/>
        <v>2.2745857861671214E-3</v>
      </c>
      <c r="J79" s="51">
        <f t="shared" si="37"/>
        <v>1.8765017728457904E-3</v>
      </c>
      <c r="K79" s="51">
        <f t="shared" si="38"/>
        <v>6.36554029734346E-3</v>
      </c>
      <c r="L79" s="51">
        <f t="shared" si="39"/>
        <v>6.9309962244760281E-3</v>
      </c>
      <c r="M79" s="51">
        <f t="shared" si="40"/>
        <v>2.511824309633425E-3</v>
      </c>
      <c r="O79" s="62">
        <f t="shared" si="29"/>
        <v>-0.14620623217047551</v>
      </c>
      <c r="P79" s="62">
        <f t="shared" si="30"/>
        <v>2.5178402201013053</v>
      </c>
      <c r="Q79" s="62">
        <f t="shared" si="31"/>
        <v>7.8274169890731604E-2</v>
      </c>
      <c r="R79" s="62">
        <f t="shared" si="32"/>
        <v>-0.6175509110295293</v>
      </c>
    </row>
    <row r="80" spans="1:18" x14ac:dyDescent="0.2">
      <c r="A80" s="19" t="s">
        <v>53</v>
      </c>
      <c r="B80" s="19"/>
      <c r="C80" s="9">
        <f>C73+C75-C76+C77-C78-C79</f>
        <v>44246148</v>
      </c>
      <c r="D80" s="9">
        <f>D73+D75-D76+D77-D78+D79</f>
        <v>98550950</v>
      </c>
      <c r="E80" s="9">
        <f>E73+E75-E76+E77-E78+E79</f>
        <v>94792477</v>
      </c>
      <c r="F80" s="9">
        <f t="shared" ref="F80" si="41">F73+F75-F76+F77-F78-F79</f>
        <v>76973405</v>
      </c>
      <c r="G80" s="9">
        <f>G73+G75-G76+G77-G78+G79</f>
        <v>74518681</v>
      </c>
      <c r="I80" s="61">
        <f t="shared" si="36"/>
        <v>6.1596839501043714E-2</v>
      </c>
      <c r="J80" s="61">
        <f t="shared" si="37"/>
        <v>0.1325676184920056</v>
      </c>
      <c r="K80" s="61">
        <f t="shared" si="38"/>
        <v>0.12295910519584295</v>
      </c>
      <c r="L80" s="61">
        <f t="shared" si="39"/>
        <v>0.10082278956044942</v>
      </c>
      <c r="M80" s="61">
        <f t="shared" si="40"/>
        <v>9.2491779737562244E-2</v>
      </c>
      <c r="O80" s="61">
        <f t="shared" si="29"/>
        <v>1.2273340043069965</v>
      </c>
      <c r="P80" s="61">
        <f t="shared" si="30"/>
        <v>-3.8137359406479596E-2</v>
      </c>
      <c r="Q80" s="61">
        <f t="shared" si="31"/>
        <v>-0.18797981194224939</v>
      </c>
      <c r="R80" s="61">
        <f t="shared" si="32"/>
        <v>-3.1890547131181217E-2</v>
      </c>
    </row>
    <row r="81" spans="1:18" x14ac:dyDescent="0.2">
      <c r="A81" s="20"/>
      <c r="B81" s="20"/>
      <c r="C81" s="8"/>
      <c r="D81" s="8"/>
      <c r="E81" s="8"/>
      <c r="F81" s="8"/>
      <c r="G81" s="8"/>
      <c r="I81" s="51"/>
      <c r="J81" s="51"/>
      <c r="K81" s="51"/>
      <c r="L81" s="51"/>
      <c r="M81" s="51"/>
      <c r="O81" s="62"/>
      <c r="P81" s="62"/>
      <c r="Q81" s="62"/>
      <c r="R81" s="62"/>
    </row>
    <row r="82" spans="1:18" x14ac:dyDescent="0.2">
      <c r="A82" s="20" t="s">
        <v>54</v>
      </c>
      <c r="B82" s="20"/>
      <c r="C82" s="8">
        <v>20368</v>
      </c>
      <c r="D82" s="8">
        <v>907219</v>
      </c>
      <c r="E82" s="8">
        <v>236214</v>
      </c>
      <c r="F82" s="8">
        <v>0</v>
      </c>
      <c r="G82" s="8">
        <v>0</v>
      </c>
      <c r="I82" s="51">
        <f>C82/C$54</f>
        <v>2.8355110753534035E-5</v>
      </c>
      <c r="J82" s="51">
        <f t="shared" si="37"/>
        <v>1.2203622824609891E-3</v>
      </c>
      <c r="K82" s="51">
        <f t="shared" si="38"/>
        <v>3.0640260697830323E-4</v>
      </c>
      <c r="L82" s="51">
        <f t="shared" si="39"/>
        <v>0</v>
      </c>
      <c r="M82" s="51">
        <f t="shared" si="40"/>
        <v>0</v>
      </c>
      <c r="O82" s="62">
        <f t="shared" si="29"/>
        <v>43.541388452474472</v>
      </c>
      <c r="P82" s="62">
        <f t="shared" si="30"/>
        <v>-0.73962846898047774</v>
      </c>
      <c r="Q82" s="62">
        <f t="shared" si="31"/>
        <v>-1</v>
      </c>
      <c r="R82" s="62">
        <f t="shared" si="32"/>
        <v>0</v>
      </c>
    </row>
    <row r="83" spans="1:18" x14ac:dyDescent="0.2">
      <c r="A83" s="20" t="s">
        <v>55</v>
      </c>
      <c r="B83" s="20"/>
      <c r="C83" s="12">
        <v>17455</v>
      </c>
      <c r="D83" s="12">
        <v>0</v>
      </c>
      <c r="E83" s="12">
        <v>95076</v>
      </c>
      <c r="F83" s="12">
        <v>0</v>
      </c>
      <c r="G83" s="12">
        <v>0</v>
      </c>
      <c r="I83" s="51">
        <f t="shared" si="36"/>
        <v>2.4299806471078973E-5</v>
      </c>
      <c r="J83" s="51">
        <f t="shared" si="37"/>
        <v>0</v>
      </c>
      <c r="K83" s="51">
        <f t="shared" si="38"/>
        <v>1.2332687419487905E-4</v>
      </c>
      <c r="L83" s="51">
        <f t="shared" si="39"/>
        <v>0</v>
      </c>
      <c r="M83" s="51">
        <f t="shared" si="40"/>
        <v>0</v>
      </c>
      <c r="O83" s="62">
        <f t="shared" si="29"/>
        <v>-1</v>
      </c>
      <c r="P83" s="62">
        <f t="shared" si="30"/>
        <v>0</v>
      </c>
      <c r="Q83" s="62">
        <f t="shared" si="31"/>
        <v>-1</v>
      </c>
      <c r="R83" s="62">
        <f t="shared" si="32"/>
        <v>0</v>
      </c>
    </row>
    <row r="84" spans="1:18" x14ac:dyDescent="0.2">
      <c r="A84" s="19" t="s">
        <v>190</v>
      </c>
      <c r="B84" s="19"/>
      <c r="C84" s="9">
        <f>C80+C82-C83</f>
        <v>44249061</v>
      </c>
      <c r="D84" s="9">
        <f t="shared" ref="D84:G84" si="42">D80+D82-D83</f>
        <v>99458169</v>
      </c>
      <c r="E84" s="9">
        <f t="shared" si="42"/>
        <v>94933615</v>
      </c>
      <c r="F84" s="9">
        <f t="shared" si="42"/>
        <v>76973405</v>
      </c>
      <c r="G84" s="9">
        <f t="shared" si="42"/>
        <v>74518681</v>
      </c>
      <c r="I84" s="61">
        <f t="shared" si="36"/>
        <v>6.160089480532617E-2</v>
      </c>
      <c r="J84" s="61">
        <f t="shared" si="37"/>
        <v>0.13378798077446657</v>
      </c>
      <c r="K84" s="61">
        <f t="shared" si="38"/>
        <v>0.12314218092862637</v>
      </c>
      <c r="L84" s="61">
        <f t="shared" si="39"/>
        <v>0.10082278956044942</v>
      </c>
      <c r="M84" s="61">
        <f t="shared" si="40"/>
        <v>9.2491779737562244E-2</v>
      </c>
      <c r="O84" s="61">
        <f t="shared" si="29"/>
        <v>1.2476899340304646</v>
      </c>
      <c r="P84" s="61">
        <f t="shared" si="30"/>
        <v>-4.5492029920639297E-2</v>
      </c>
      <c r="Q84" s="61">
        <f t="shared" si="31"/>
        <v>-0.18918704402018188</v>
      </c>
      <c r="R84" s="61">
        <f t="shared" si="32"/>
        <v>-3.1890547131181217E-2</v>
      </c>
    </row>
    <row r="85" spans="1:18" x14ac:dyDescent="0.2">
      <c r="A85" s="7"/>
      <c r="B85" s="7"/>
      <c r="C85" s="8"/>
      <c r="D85" s="8"/>
      <c r="E85" s="8"/>
      <c r="F85" s="8"/>
      <c r="G85" s="8"/>
    </row>
    <row r="86" spans="1:18" x14ac:dyDescent="0.2">
      <c r="A86" s="28" t="s">
        <v>192</v>
      </c>
      <c r="B86" s="7"/>
      <c r="C86" s="8"/>
      <c r="D86" s="8"/>
      <c r="E86" s="8"/>
      <c r="F86" s="8">
        <v>24246250</v>
      </c>
      <c r="G86" s="8">
        <v>26129934</v>
      </c>
      <c r="I86" s="51">
        <f>C86/C$54</f>
        <v>0</v>
      </c>
      <c r="J86" s="51">
        <f t="shared" ref="J86:M86" si="43">D86/D$54</f>
        <v>0</v>
      </c>
      <c r="K86" s="51">
        <f t="shared" si="43"/>
        <v>0</v>
      </c>
      <c r="L86" s="51">
        <f t="shared" si="43"/>
        <v>3.1758690698170965E-2</v>
      </c>
      <c r="M86" s="51">
        <f t="shared" si="43"/>
        <v>3.2432191064748435E-2</v>
      </c>
      <c r="O86" s="62">
        <f t="shared" si="29"/>
        <v>0</v>
      </c>
      <c r="P86" s="62">
        <f t="shared" ref="P86" si="44">IFERROR((E86-D86)/D86,0)</f>
        <v>0</v>
      </c>
      <c r="Q86" s="62">
        <f t="shared" ref="Q86" si="45">IFERROR((F86-E86)/E86,0)</f>
        <v>0</v>
      </c>
      <c r="R86" s="62">
        <f t="shared" ref="R86" si="46">IFERROR((G86-F86)/F86,0)</f>
        <v>7.7689704593493836E-2</v>
      </c>
    </row>
    <row r="87" spans="1:18" x14ac:dyDescent="0.2">
      <c r="A87" s="28" t="s">
        <v>191</v>
      </c>
      <c r="B87" s="7"/>
      <c r="C87" s="8"/>
      <c r="D87" s="8"/>
      <c r="E87" s="12">
        <v>2143070</v>
      </c>
      <c r="F87" s="12">
        <v>4611743</v>
      </c>
      <c r="G87" s="12">
        <v>0</v>
      </c>
      <c r="I87" s="51">
        <f t="shared" ref="I87:I88" si="47">C87/C$54</f>
        <v>0</v>
      </c>
      <c r="J87" s="51">
        <f t="shared" ref="J87:J88" si="48">D87/D$54</f>
        <v>0</v>
      </c>
      <c r="K87" s="51">
        <f t="shared" ref="K87:K88" si="49">E87/E$54</f>
        <v>2.7798616294419142E-3</v>
      </c>
      <c r="L87" s="51">
        <f t="shared" ref="L87:L88" si="50">F87/F$54</f>
        <v>6.0406421412158608E-3</v>
      </c>
      <c r="M87" s="51">
        <f t="shared" ref="M87:M88" si="51">G87/G$54</f>
        <v>0</v>
      </c>
      <c r="O87" s="62">
        <f t="shared" ref="O87:O88" si="52">IFERROR((D87-C87)/C87,0)</f>
        <v>0</v>
      </c>
      <c r="P87" s="62">
        <f t="shared" ref="P87:P88" si="53">IFERROR((E87-D87)/D87,0)</f>
        <v>0</v>
      </c>
      <c r="Q87" s="62">
        <f t="shared" ref="Q87:Q88" si="54">IFERROR((F87-E87)/E87,0)</f>
        <v>1.1519329746578506</v>
      </c>
      <c r="R87" s="62">
        <f t="shared" ref="R87:R88" si="55">IFERROR((G87-F87)/F87,0)</f>
        <v>-1</v>
      </c>
    </row>
    <row r="88" spans="1:18" ht="15.75" thickBot="1" x14ac:dyDescent="0.25">
      <c r="A88" s="19" t="s">
        <v>16</v>
      </c>
      <c r="B88" s="7"/>
      <c r="C88" s="9">
        <f>C84+C86-C87</f>
        <v>44249061</v>
      </c>
      <c r="D88" s="9">
        <f t="shared" ref="D88" si="56">D84+D86-D87</f>
        <v>99458169</v>
      </c>
      <c r="E88" s="30">
        <f>E84-E87</f>
        <v>92790545</v>
      </c>
      <c r="F88" s="30">
        <f>F84-F87-F86</f>
        <v>48115412</v>
      </c>
      <c r="G88" s="30">
        <f>G84-G87-G86</f>
        <v>48388747</v>
      </c>
      <c r="I88" s="61">
        <f t="shared" si="47"/>
        <v>6.160089480532617E-2</v>
      </c>
      <c r="J88" s="61">
        <f t="shared" si="48"/>
        <v>0.13378798077446657</v>
      </c>
      <c r="K88" s="61">
        <f t="shared" si="49"/>
        <v>0.12036231929918446</v>
      </c>
      <c r="L88" s="61">
        <f t="shared" si="50"/>
        <v>6.302345672106259E-2</v>
      </c>
      <c r="M88" s="61">
        <f t="shared" si="51"/>
        <v>6.0059588672813809E-2</v>
      </c>
      <c r="O88" s="61">
        <f t="shared" si="52"/>
        <v>1.2476899340304646</v>
      </c>
      <c r="P88" s="61">
        <f t="shared" si="53"/>
        <v>-6.7039480688609904E-2</v>
      </c>
      <c r="Q88" s="61">
        <f t="shared" si="54"/>
        <v>-0.48146212526287024</v>
      </c>
      <c r="R88" s="61">
        <f t="shared" si="55"/>
        <v>5.6808201081183715E-3</v>
      </c>
    </row>
    <row r="89" spans="1:18" ht="15.75" thickTop="1" x14ac:dyDescent="0.2">
      <c r="C89" s="11"/>
      <c r="D89" s="11"/>
      <c r="E89" s="11"/>
      <c r="F89" s="11"/>
      <c r="G89" s="11"/>
    </row>
    <row r="90" spans="1:18" x14ac:dyDescent="0.2">
      <c r="C90" s="11"/>
      <c r="D90" s="11"/>
      <c r="E90" s="11"/>
      <c r="F90" s="11"/>
      <c r="G90" s="11"/>
    </row>
    <row r="91" spans="1:18" x14ac:dyDescent="0.2">
      <c r="C91" s="11"/>
      <c r="D91" s="11"/>
      <c r="E91" s="11"/>
      <c r="F91" s="11"/>
      <c r="G91" s="11"/>
    </row>
  </sheetData>
  <mergeCells count="7">
    <mergeCell ref="I52:M52"/>
    <mergeCell ref="O52:R52"/>
    <mergeCell ref="A2:G2"/>
    <mergeCell ref="A1:G1"/>
    <mergeCell ref="A51:G51"/>
    <mergeCell ref="I3:M3"/>
    <mergeCell ref="O3:R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02850-88FC-4051-9CD5-909012E4EF85}">
  <dimension ref="A3:E31"/>
  <sheetViews>
    <sheetView tabSelected="1" topLeftCell="C7" workbookViewId="0">
      <selection activeCell="E25" sqref="E25"/>
    </sheetView>
  </sheetViews>
  <sheetFormatPr defaultColWidth="10.76171875" defaultRowHeight="15" x14ac:dyDescent="0.2"/>
  <cols>
    <col min="1" max="1" width="35.51171875" customWidth="1"/>
    <col min="2" max="2" width="16.27734375" customWidth="1"/>
    <col min="3" max="3" width="15.87109375" customWidth="1"/>
    <col min="4" max="4" width="17.08203125" customWidth="1"/>
    <col min="5" max="5" width="18.16015625" customWidth="1"/>
  </cols>
  <sheetData>
    <row r="3" spans="1:5" ht="15.75" thickBot="1" x14ac:dyDescent="0.25">
      <c r="A3" s="81" t="s">
        <v>436</v>
      </c>
      <c r="B3" s="81">
        <v>2021</v>
      </c>
      <c r="C3" s="81">
        <v>2022</v>
      </c>
      <c r="D3" s="81">
        <v>2023</v>
      </c>
      <c r="E3" s="81">
        <v>2024</v>
      </c>
    </row>
    <row r="4" spans="1:5" x14ac:dyDescent="0.2">
      <c r="A4" t="s">
        <v>437</v>
      </c>
      <c r="B4" s="7">
        <f>+'BG - ER'!E88+'BG - ER'!E78</f>
        <v>103110696</v>
      </c>
      <c r="C4" s="7">
        <f>+'BG - ER'!F88+'BG - ER'!F78</f>
        <v>63411341</v>
      </c>
      <c r="D4" s="7">
        <f>+'BG - ER'!G88+'BG - ER'!G78</f>
        <v>77918780</v>
      </c>
      <c r="E4" s="7">
        <f>+'BG - ER'!H88+'BG - ER'!H78</f>
        <v>0</v>
      </c>
    </row>
    <row r="5" spans="1:5" x14ac:dyDescent="0.2">
      <c r="A5" t="s">
        <v>438</v>
      </c>
      <c r="B5" s="7">
        <f>'BG - ER'!D19-'BG - ER'!C19</f>
        <v>19451449</v>
      </c>
      <c r="C5" s="7">
        <f>'BG - ER'!E19-'BG - ER'!D19</f>
        <v>18563857</v>
      </c>
      <c r="D5" s="7">
        <f>'BG - ER'!F19-'BG - ER'!E19</f>
        <v>19687102</v>
      </c>
      <c r="E5" s="7">
        <f>'BG - ER'!G19-'BG - ER'!F19</f>
        <v>0</v>
      </c>
    </row>
    <row r="6" spans="1:5" x14ac:dyDescent="0.2">
      <c r="A6" s="75" t="s">
        <v>3</v>
      </c>
      <c r="B6" s="7">
        <f>-('BG - ER'!D8-'BG - ER'!C8)</f>
        <v>81520284</v>
      </c>
      <c r="C6" s="7">
        <f>-('BG - ER'!E8-'BG - ER'!D8)</f>
        <v>-7014820</v>
      </c>
      <c r="D6" s="7">
        <f>-('BG - ER'!F8-'BG - ER'!E8)</f>
        <v>-17695530</v>
      </c>
      <c r="E6" s="7">
        <f>-('BG - ER'!G8-'BG - ER'!F8)</f>
        <v>-31803531</v>
      </c>
    </row>
    <row r="7" spans="1:5" x14ac:dyDescent="0.2">
      <c r="A7" s="75" t="s">
        <v>4</v>
      </c>
      <c r="B7" s="7">
        <f>-('BG - ER'!D9-'BG - ER'!C9)</f>
        <v>-4380295</v>
      </c>
      <c r="C7" s="7">
        <f>-('BG - ER'!E9-'BG - ER'!D9)</f>
        <v>2978204</v>
      </c>
      <c r="D7" s="7">
        <f>-('BG - ER'!F9-'BG - ER'!E9)</f>
        <v>-1724632</v>
      </c>
      <c r="E7" s="7">
        <f>-('BG - ER'!G9-'BG - ER'!F9)</f>
        <v>6280168</v>
      </c>
    </row>
    <row r="8" spans="1:5" x14ac:dyDescent="0.2">
      <c r="A8" s="75" t="s">
        <v>5</v>
      </c>
      <c r="B8" s="7">
        <f>-('BG - ER'!D10-'BG - ER'!C10)</f>
        <v>-19084127</v>
      </c>
      <c r="C8" s="7">
        <f>-('BG - ER'!E10-'BG - ER'!D10)</f>
        <v>-3308946</v>
      </c>
      <c r="D8" s="7">
        <f>-('BG - ER'!F10-'BG - ER'!E10)</f>
        <v>13334223</v>
      </c>
      <c r="E8" s="7">
        <f>-('BG - ER'!G10-'BG - ER'!F10)</f>
        <v>11486505</v>
      </c>
    </row>
    <row r="9" spans="1:5" x14ac:dyDescent="0.2">
      <c r="A9" s="75" t="s">
        <v>6</v>
      </c>
      <c r="B9" s="7">
        <f>-('BG - ER'!D11-'BG - ER'!C11)</f>
        <v>-13020899</v>
      </c>
      <c r="C9" s="7">
        <f>-('BG - ER'!E11-'BG - ER'!D11)</f>
        <v>41717156</v>
      </c>
      <c r="D9" s="7">
        <f>-('BG - ER'!F11-'BG - ER'!E11)</f>
        <v>-30192069</v>
      </c>
      <c r="E9" s="7">
        <f>-('BG - ER'!G11-'BG - ER'!F11)</f>
        <v>-19780289</v>
      </c>
    </row>
    <row r="10" spans="1:5" x14ac:dyDescent="0.2">
      <c r="A10" s="75" t="s">
        <v>3</v>
      </c>
      <c r="B10" s="7">
        <f>-('BG - ER'!D14-'BG - ER'!C14)</f>
        <v>0</v>
      </c>
      <c r="C10" s="7">
        <f>-('BG - ER'!E14-'BG - ER'!D14)</f>
        <v>0</v>
      </c>
      <c r="D10" s="7">
        <f>-('BG - ER'!F14-'BG - ER'!E14)</f>
        <v>0</v>
      </c>
      <c r="E10" s="7">
        <f>-('BG - ER'!G14-'BG - ER'!F14)</f>
        <v>0</v>
      </c>
    </row>
    <row r="11" spans="1:5" x14ac:dyDescent="0.2">
      <c r="A11" s="75" t="s">
        <v>6</v>
      </c>
      <c r="B11" s="7">
        <f>-('BG - ER'!D15-'BG - ER'!C15)</f>
        <v>-2525658</v>
      </c>
      <c r="C11" s="7">
        <f>-('BG - ER'!E15-'BG - ER'!D15)</f>
        <v>-21341071</v>
      </c>
      <c r="D11" s="7">
        <f>-('BG - ER'!F15-'BG - ER'!E15)</f>
        <v>-3126239</v>
      </c>
      <c r="E11" s="7">
        <f>-('BG - ER'!G15-'BG - ER'!F15)</f>
        <v>9479524</v>
      </c>
    </row>
    <row r="12" spans="1:5" x14ac:dyDescent="0.2">
      <c r="A12" s="75" t="s">
        <v>27</v>
      </c>
      <c r="B12" s="7">
        <f>'BG - ER'!D29-'BG - ER'!C29</f>
        <v>-40150886</v>
      </c>
      <c r="C12" s="7">
        <f>'BG - ER'!E29-'BG - ER'!D29</f>
        <v>-7081799</v>
      </c>
      <c r="D12" s="7">
        <f>'BG - ER'!F29-'BG - ER'!E29</f>
        <v>22001532</v>
      </c>
      <c r="E12" s="7">
        <f>'BG - ER'!G29-'BG - ER'!F29</f>
        <v>17703168</v>
      </c>
    </row>
    <row r="13" spans="1:5" x14ac:dyDescent="0.2">
      <c r="A13" s="75" t="s">
        <v>28</v>
      </c>
      <c r="B13" s="7">
        <f>'BG - ER'!D30-'BG - ER'!C30</f>
        <v>22913</v>
      </c>
      <c r="C13" s="7">
        <f>'BG - ER'!E30-'BG - ER'!D30</f>
        <v>104437</v>
      </c>
      <c r="D13" s="7">
        <f>'BG - ER'!F30-'BG - ER'!E30</f>
        <v>546297</v>
      </c>
      <c r="E13" s="7">
        <f>'BG - ER'!G30-'BG - ER'!F30</f>
        <v>2984667</v>
      </c>
    </row>
    <row r="14" spans="1:5" x14ac:dyDescent="0.2">
      <c r="A14" s="75" t="s">
        <v>31</v>
      </c>
      <c r="B14" s="7">
        <f>'BG - ER'!D33-'BG - ER'!C33</f>
        <v>8224236</v>
      </c>
      <c r="C14" s="7">
        <f>'BG - ER'!E33-'BG - ER'!D33</f>
        <v>11003754</v>
      </c>
      <c r="D14" s="7">
        <f>'BG - ER'!F33-'BG - ER'!E33</f>
        <v>-22674223</v>
      </c>
      <c r="E14" s="7">
        <f>'BG - ER'!G33-'BG - ER'!F33</f>
        <v>-3679449</v>
      </c>
    </row>
    <row r="15" spans="1:5" x14ac:dyDescent="0.2">
      <c r="A15" s="76" t="s">
        <v>188</v>
      </c>
      <c r="B15" s="7">
        <f>('BG - ER'!D37-'BG - ER'!C37)</f>
        <v>0</v>
      </c>
      <c r="C15" s="7">
        <f>('BG - ER'!E37-'BG - ER'!D37)</f>
        <v>1168076</v>
      </c>
      <c r="D15" s="7">
        <f>('BG - ER'!F37-'BG - ER'!E37)</f>
        <v>-1168076</v>
      </c>
      <c r="E15" s="7">
        <f>('BG - ER'!G37-'BG - ER'!F37)</f>
        <v>0</v>
      </c>
    </row>
    <row r="16" spans="1:5" ht="15.75" thickBot="1" x14ac:dyDescent="0.25">
      <c r="A16" s="78" t="s">
        <v>34</v>
      </c>
      <c r="B16" s="79">
        <f>'BG - ER'!D40-'BG - ER'!C40</f>
        <v>4744810</v>
      </c>
      <c r="C16" s="79">
        <f>'BG - ER'!E40-'BG - ER'!D40</f>
        <v>-2912575</v>
      </c>
      <c r="D16" s="79">
        <f>'BG - ER'!F40-'BG - ER'!E40</f>
        <v>2072824</v>
      </c>
      <c r="E16" s="79">
        <f>'BG - ER'!G40-'BG - ER'!F40</f>
        <v>1043045</v>
      </c>
    </row>
    <row r="17" spans="1:5" x14ac:dyDescent="0.2">
      <c r="A17" s="80" t="s">
        <v>439</v>
      </c>
      <c r="B17" s="82">
        <f>SUM(B4:B16)</f>
        <v>137912523</v>
      </c>
      <c r="C17" s="82">
        <f t="shared" ref="C17:E17" si="0">SUM(C4:C16)</f>
        <v>97287614</v>
      </c>
      <c r="D17" s="82">
        <f t="shared" si="0"/>
        <v>58979989</v>
      </c>
      <c r="E17" s="82">
        <f t="shared" si="0"/>
        <v>-6286192</v>
      </c>
    </row>
    <row r="19" spans="1:5" x14ac:dyDescent="0.2">
      <c r="A19" s="83" t="s">
        <v>2</v>
      </c>
      <c r="B19" s="7">
        <f>'BG - ER'!D7-'BG - ER'!C7</f>
        <v>0</v>
      </c>
      <c r="C19" s="7">
        <f>'BG - ER'!E7-'BG - ER'!D7</f>
        <v>7140830</v>
      </c>
      <c r="D19" s="7">
        <f>'BG - ER'!F7-'BG - ER'!E7</f>
        <v>78383053</v>
      </c>
      <c r="E19" s="7">
        <f>'BG - ER'!G7-'BG - ER'!F7</f>
        <v>68117191</v>
      </c>
    </row>
    <row r="20" spans="1:5" x14ac:dyDescent="0.2">
      <c r="A20" s="84" t="s">
        <v>21</v>
      </c>
      <c r="B20" s="7">
        <f>'BG - ER'!D16-'BG - ER'!C16</f>
        <v>808819</v>
      </c>
      <c r="C20" s="7">
        <f>'BG - ER'!E16-'BG - ER'!D16</f>
        <v>5093868</v>
      </c>
      <c r="D20" s="7">
        <f>'BG - ER'!F16-'BG - ER'!E16</f>
        <v>115730420</v>
      </c>
      <c r="E20" s="7">
        <f>'BG - ER'!G16-'BG - ER'!F16</f>
        <v>-59668587</v>
      </c>
    </row>
    <row r="21" spans="1:5" x14ac:dyDescent="0.2">
      <c r="A21" s="85" t="s">
        <v>434</v>
      </c>
      <c r="B21" s="7">
        <f>'BG - ER'!D18-'BG - ER'!C18</f>
        <v>39908352</v>
      </c>
      <c r="C21" s="7">
        <f>'BG - ER'!E18-'BG - ER'!D18</f>
        <v>62152908</v>
      </c>
      <c r="D21" s="7">
        <f>'BG - ER'!F18-'BG - ER'!E18</f>
        <v>63496572</v>
      </c>
      <c r="E21" s="7">
        <f>'BG - ER'!G18-'BG - ER'!F18</f>
        <v>57187918</v>
      </c>
    </row>
    <row r="22" spans="1:5" ht="15.75" thickBot="1" x14ac:dyDescent="0.25">
      <c r="A22" s="86" t="s">
        <v>9</v>
      </c>
      <c r="B22" s="79">
        <f>'BG - ER'!D20-'BG - ER'!C20</f>
        <v>1582006</v>
      </c>
      <c r="C22" s="79">
        <f>'BG - ER'!E20-'BG - ER'!D20</f>
        <v>-1469520</v>
      </c>
      <c r="D22" s="79">
        <f>'BG - ER'!F20-'BG - ER'!E20</f>
        <v>-2006931</v>
      </c>
      <c r="E22" s="79">
        <f>'BG - ER'!G20-'BG - ER'!F20</f>
        <v>-152457</v>
      </c>
    </row>
    <row r="23" spans="1:5" x14ac:dyDescent="0.2">
      <c r="B23" s="82">
        <f>SUM(B19:B22)</f>
        <v>42299177</v>
      </c>
      <c r="C23" s="82">
        <f t="shared" ref="C23:E23" si="1">SUM(C19:C22)</f>
        <v>72918086</v>
      </c>
      <c r="D23" s="82">
        <f t="shared" si="1"/>
        <v>255603114</v>
      </c>
      <c r="E23" s="82">
        <f t="shared" si="1"/>
        <v>65484065</v>
      </c>
    </row>
    <row r="25" spans="1:5" x14ac:dyDescent="0.2">
      <c r="A25" s="87" t="s">
        <v>29</v>
      </c>
      <c r="B25" s="7">
        <f>'BG - ER'!D31-'BG - ER'!C31</f>
        <v>8865593</v>
      </c>
      <c r="C25" s="7">
        <f>'BG - ER'!E31-'BG - ER'!D31</f>
        <v>-3855863</v>
      </c>
      <c r="D25" s="7">
        <f>'BG - ER'!F31-'BG - ER'!E31</f>
        <v>9042440</v>
      </c>
      <c r="E25" s="7">
        <f>'BG - ER'!G31-'BG - ER'!F31</f>
        <v>20702962</v>
      </c>
    </row>
    <row r="26" spans="1:5" x14ac:dyDescent="0.2">
      <c r="A26" s="87" t="s">
        <v>30</v>
      </c>
      <c r="B26" s="7">
        <f>'BG - ER'!D32-'BG - ER'!C32</f>
        <v>-32967</v>
      </c>
      <c r="C26" s="7">
        <f>'BG - ER'!E32-'BG - ER'!D32</f>
        <v>5052916</v>
      </c>
      <c r="D26" s="7">
        <f>'BG - ER'!F32-'BG - ER'!E32</f>
        <v>-991944</v>
      </c>
      <c r="E26" s="7">
        <f>'BG - ER'!G32-'BG - ER'!F32</f>
        <v>1232544</v>
      </c>
    </row>
    <row r="27" spans="1:5" x14ac:dyDescent="0.2">
      <c r="A27" s="88" t="s">
        <v>187</v>
      </c>
      <c r="B27" s="7">
        <f>'BG - ER'!D34-'BG - ER'!C34</f>
        <v>0</v>
      </c>
      <c r="C27" s="7">
        <f>'BG - ER'!E34-'BG - ER'!D34</f>
        <v>0</v>
      </c>
      <c r="D27" s="7">
        <f>'BG - ER'!F34-'BG - ER'!E34</f>
        <v>10910000</v>
      </c>
      <c r="E27" s="7">
        <f>'BG - ER'!G34-'BG - ER'!F34</f>
        <v>-10910000</v>
      </c>
    </row>
    <row r="28" spans="1:5" x14ac:dyDescent="0.2">
      <c r="A28" s="87" t="s">
        <v>29</v>
      </c>
      <c r="B28" s="7">
        <f>'BG - ER'!D38-'BG - ER'!C38</f>
        <v>17186905</v>
      </c>
      <c r="C28" s="7">
        <f>'BG - ER'!E38-'BG - ER'!D38</f>
        <v>8156066</v>
      </c>
      <c r="D28" s="7">
        <f>'BG - ER'!F38-'BG - ER'!E38</f>
        <v>69439233</v>
      </c>
      <c r="E28" s="7">
        <f>'BG - ER'!G38-'BG - ER'!F38</f>
        <v>11379232</v>
      </c>
    </row>
    <row r="29" spans="1:5" x14ac:dyDescent="0.2">
      <c r="A29" s="87" t="s">
        <v>30</v>
      </c>
      <c r="B29" s="7">
        <f>'BG - ER'!D39-'BG - ER'!C39</f>
        <v>-8827136</v>
      </c>
      <c r="C29" s="7">
        <f>'BG - ER'!E39-'BG - ER'!D39</f>
        <v>-13928352</v>
      </c>
      <c r="D29" s="7">
        <f>'BG - ER'!F39-'BG - ER'!E39</f>
        <v>-13098024</v>
      </c>
      <c r="E29" s="7">
        <f>'BG - ER'!G39-'BG - ER'!F39</f>
        <v>-14927808</v>
      </c>
    </row>
    <row r="30" spans="1:5" ht="15.75" thickBot="1" x14ac:dyDescent="0.25">
      <c r="A30" s="89" t="s">
        <v>440</v>
      </c>
      <c r="B30" s="79">
        <f>-('BG - ER'!D78)</f>
        <v>-13048454</v>
      </c>
      <c r="C30" s="79">
        <f>-('BG - ER'!E78)</f>
        <v>-10320151</v>
      </c>
      <c r="D30" s="79">
        <f>-('BG - ER'!F78)</f>
        <v>-15295929</v>
      </c>
      <c r="E30" s="79">
        <f>-('BG - ER'!G78)</f>
        <v>-29530033</v>
      </c>
    </row>
    <row r="31" spans="1:5" x14ac:dyDescent="0.2">
      <c r="B31" s="82">
        <f>SUM(B25:B30)</f>
        <v>4143941</v>
      </c>
      <c r="C31" s="82">
        <f t="shared" ref="C31:E31" si="2">SUM(C25:C30)</f>
        <v>-14895384</v>
      </c>
      <c r="D31" s="82">
        <f t="shared" si="2"/>
        <v>60005776</v>
      </c>
      <c r="E31" s="82">
        <f t="shared" si="2"/>
        <v>-22053103</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EEBA-B7BC-4707-93E4-E7F42949F614}">
  <dimension ref="A2:K249"/>
  <sheetViews>
    <sheetView topLeftCell="A199" zoomScale="68" zoomScaleNormal="100" workbookViewId="0">
      <selection activeCell="C82" sqref="C82"/>
    </sheetView>
  </sheetViews>
  <sheetFormatPr defaultColWidth="10.76171875" defaultRowHeight="15" x14ac:dyDescent="0.2"/>
  <cols>
    <col min="1" max="1" width="54.61328125" bestFit="1" customWidth="1"/>
    <col min="2" max="2" width="26.23046875" customWidth="1"/>
    <col min="3" max="3" width="39.81640625" customWidth="1"/>
    <col min="4" max="4" width="28.25" bestFit="1" customWidth="1"/>
    <col min="5" max="5" width="29.19140625" customWidth="1"/>
    <col min="6" max="6" width="36.58984375" customWidth="1"/>
    <col min="7" max="7" width="13.31640625" bestFit="1" customWidth="1"/>
    <col min="8" max="8" width="13.71875" bestFit="1" customWidth="1"/>
    <col min="9" max="9" width="13.31640625" bestFit="1" customWidth="1"/>
    <col min="10" max="10" width="13.71875" bestFit="1" customWidth="1"/>
    <col min="11" max="11" width="12.5078125" bestFit="1" customWidth="1"/>
  </cols>
  <sheetData>
    <row r="2" spans="1:6" x14ac:dyDescent="0.2">
      <c r="A2" s="93" t="s">
        <v>57</v>
      </c>
      <c r="B2" s="93"/>
      <c r="C2" s="93"/>
      <c r="D2" s="93"/>
      <c r="E2" s="93"/>
      <c r="F2" s="93"/>
    </row>
    <row r="3" spans="1:6" x14ac:dyDescent="0.2">
      <c r="A3" s="90" t="s">
        <v>0</v>
      </c>
      <c r="B3" s="90"/>
      <c r="C3" s="90"/>
      <c r="D3" s="90"/>
      <c r="E3" s="90"/>
      <c r="F3" s="90"/>
    </row>
    <row r="5" spans="1:6" x14ac:dyDescent="0.2">
      <c r="A5" s="90" t="s">
        <v>58</v>
      </c>
      <c r="B5" s="90"/>
      <c r="C5" s="90"/>
      <c r="D5" s="90"/>
      <c r="E5" s="90"/>
      <c r="F5" s="90"/>
    </row>
    <row r="6" spans="1:6" x14ac:dyDescent="0.2">
      <c r="A6" s="2"/>
      <c r="B6" s="2">
        <v>2020</v>
      </c>
      <c r="C6" s="2">
        <v>2021</v>
      </c>
      <c r="D6" s="2">
        <v>2022</v>
      </c>
      <c r="E6" s="2">
        <v>2023</v>
      </c>
      <c r="F6" s="2">
        <v>2024</v>
      </c>
    </row>
    <row r="7" spans="1:6" x14ac:dyDescent="0.2">
      <c r="A7" s="3" t="s">
        <v>59</v>
      </c>
      <c r="B7" s="8">
        <v>1235090</v>
      </c>
      <c r="C7" s="8">
        <v>1961825</v>
      </c>
      <c r="D7" s="8">
        <v>21134602</v>
      </c>
      <c r="E7" s="8">
        <v>29270</v>
      </c>
      <c r="F7" s="8">
        <v>319001</v>
      </c>
    </row>
    <row r="8" spans="1:6" x14ac:dyDescent="0.2">
      <c r="A8" s="3" t="s">
        <v>60</v>
      </c>
      <c r="B8" s="12">
        <v>188079196</v>
      </c>
      <c r="C8" s="12">
        <v>294051000</v>
      </c>
      <c r="D8" s="12">
        <v>318051722</v>
      </c>
      <c r="E8" s="12">
        <v>144032266</v>
      </c>
      <c r="F8" s="12">
        <v>115819956</v>
      </c>
    </row>
    <row r="9" spans="1:6" x14ac:dyDescent="0.2">
      <c r="A9" s="2" t="s">
        <v>61</v>
      </c>
      <c r="B9" s="9">
        <f>B7+B8</f>
        <v>189314286</v>
      </c>
      <c r="C9" s="9">
        <f t="shared" ref="C9:F9" si="0">C7+C8</f>
        <v>296012825</v>
      </c>
      <c r="D9" s="9">
        <f t="shared" si="0"/>
        <v>339186324</v>
      </c>
      <c r="E9" s="9">
        <f t="shared" si="0"/>
        <v>144061536</v>
      </c>
      <c r="F9" s="9">
        <f t="shared" si="0"/>
        <v>116138957</v>
      </c>
    </row>
    <row r="10" spans="1:6" x14ac:dyDescent="0.2">
      <c r="B10" s="8"/>
      <c r="C10" s="8"/>
      <c r="D10" s="8"/>
      <c r="E10" s="8"/>
      <c r="F10" s="8"/>
    </row>
    <row r="11" spans="1:6" x14ac:dyDescent="0.2">
      <c r="A11" s="90" t="s">
        <v>62</v>
      </c>
      <c r="B11" s="90"/>
      <c r="C11" s="90"/>
      <c r="D11" s="90"/>
      <c r="E11" s="90"/>
      <c r="F11" s="90"/>
    </row>
    <row r="12" spans="1:6" x14ac:dyDescent="0.2">
      <c r="B12" s="22">
        <v>2020</v>
      </c>
      <c r="C12" s="22">
        <v>2021</v>
      </c>
      <c r="D12" s="22">
        <v>2022</v>
      </c>
      <c r="E12" s="22">
        <v>2023</v>
      </c>
      <c r="F12" s="22">
        <v>2024</v>
      </c>
    </row>
    <row r="13" spans="1:6" x14ac:dyDescent="0.2">
      <c r="A13" s="3" t="s">
        <v>63</v>
      </c>
      <c r="B13" s="8"/>
      <c r="C13" s="8"/>
      <c r="D13" s="8"/>
      <c r="E13" s="8"/>
      <c r="F13" s="8"/>
    </row>
    <row r="14" spans="1:6" x14ac:dyDescent="0.2">
      <c r="A14" s="3" t="s">
        <v>64</v>
      </c>
      <c r="B14" s="8">
        <v>154522479</v>
      </c>
      <c r="C14" s="8">
        <v>72550560</v>
      </c>
      <c r="D14" s="8">
        <v>79108283</v>
      </c>
      <c r="E14" s="8">
        <v>96289281</v>
      </c>
      <c r="F14" s="8">
        <v>133062154</v>
      </c>
    </row>
    <row r="15" spans="1:6" x14ac:dyDescent="0.2">
      <c r="A15" s="3" t="s">
        <v>65</v>
      </c>
      <c r="B15" s="8">
        <v>14754</v>
      </c>
      <c r="C15" s="8">
        <v>52929</v>
      </c>
      <c r="D15" s="8">
        <v>61464</v>
      </c>
      <c r="E15" s="8">
        <v>98282</v>
      </c>
      <c r="F15" s="8">
        <v>61081</v>
      </c>
    </row>
    <row r="16" spans="1:6" x14ac:dyDescent="0.2">
      <c r="A16" s="3" t="s">
        <v>66</v>
      </c>
      <c r="B16" s="8">
        <v>2427</v>
      </c>
      <c r="C16" s="8">
        <v>0</v>
      </c>
      <c r="D16" s="8">
        <v>0</v>
      </c>
      <c r="E16" s="8">
        <v>0</v>
      </c>
      <c r="F16" s="8">
        <v>0</v>
      </c>
    </row>
    <row r="17" spans="1:6" x14ac:dyDescent="0.2">
      <c r="A17" s="3" t="s">
        <v>67</v>
      </c>
      <c r="B17" s="8">
        <v>472693</v>
      </c>
      <c r="C17" s="8">
        <v>888580</v>
      </c>
      <c r="D17" s="8">
        <v>1337142</v>
      </c>
      <c r="E17" s="8">
        <v>1814856</v>
      </c>
      <c r="F17" s="8">
        <v>2251800</v>
      </c>
    </row>
    <row r="18" spans="1:6" x14ac:dyDescent="0.2">
      <c r="A18" s="32" t="s">
        <v>193</v>
      </c>
      <c r="B18" s="12">
        <v>0</v>
      </c>
      <c r="C18" s="12">
        <v>0</v>
      </c>
      <c r="D18" s="12">
        <v>0</v>
      </c>
      <c r="E18" s="12">
        <v>0</v>
      </c>
      <c r="F18" s="12">
        <v>5369084</v>
      </c>
    </row>
    <row r="19" spans="1:6" x14ac:dyDescent="0.2">
      <c r="A19" s="2" t="s">
        <v>61</v>
      </c>
      <c r="B19" s="9">
        <f>SUM(B14:B18)</f>
        <v>155012353</v>
      </c>
      <c r="C19" s="9">
        <f>SUM(C14:C18)</f>
        <v>73492069</v>
      </c>
      <c r="D19" s="9">
        <f>SUM(D14:D18)</f>
        <v>80506889</v>
      </c>
      <c r="E19" s="9">
        <f>SUM(E14:E18)</f>
        <v>98202419</v>
      </c>
      <c r="F19" s="9">
        <f>F14+F15+F17-F18</f>
        <v>130005951</v>
      </c>
    </row>
    <row r="20" spans="1:6" x14ac:dyDescent="0.2">
      <c r="B20" s="8"/>
      <c r="C20" s="8"/>
      <c r="D20" s="8"/>
      <c r="E20" s="8"/>
      <c r="F20" s="8"/>
    </row>
    <row r="21" spans="1:6" x14ac:dyDescent="0.2">
      <c r="A21" s="3" t="s">
        <v>68</v>
      </c>
      <c r="B21" s="8"/>
      <c r="C21" s="8"/>
      <c r="D21" s="8"/>
      <c r="E21" s="8"/>
      <c r="F21" s="8"/>
    </row>
    <row r="22" spans="1:6" x14ac:dyDescent="0.2">
      <c r="A22" s="3" t="s">
        <v>69</v>
      </c>
      <c r="B22" s="8">
        <v>5257719</v>
      </c>
      <c r="C22" s="8">
        <v>3860421</v>
      </c>
      <c r="D22" s="8">
        <v>2215259</v>
      </c>
      <c r="E22" s="8">
        <v>2227665</v>
      </c>
      <c r="F22" s="8">
        <v>0</v>
      </c>
    </row>
    <row r="23" spans="1:6" x14ac:dyDescent="0.2">
      <c r="A23" s="3" t="s">
        <v>67</v>
      </c>
      <c r="B23" s="8">
        <v>353422</v>
      </c>
      <c r="C23" s="8">
        <v>353422</v>
      </c>
      <c r="D23" s="8">
        <v>353422</v>
      </c>
      <c r="E23" s="8">
        <v>353422</v>
      </c>
      <c r="F23" s="8">
        <v>0</v>
      </c>
    </row>
    <row r="24" spans="1:6" x14ac:dyDescent="0.2">
      <c r="A24" s="3" t="s">
        <v>70</v>
      </c>
      <c r="B24" s="12">
        <v>5611141</v>
      </c>
      <c r="C24" s="12">
        <v>4213843</v>
      </c>
      <c r="D24" s="12">
        <v>2568681</v>
      </c>
      <c r="E24" s="12">
        <v>2581087</v>
      </c>
      <c r="F24" s="12">
        <v>0</v>
      </c>
    </row>
    <row r="25" spans="1:6" x14ac:dyDescent="0.2">
      <c r="A25" s="2" t="s">
        <v>61</v>
      </c>
      <c r="B25" s="33">
        <v>0</v>
      </c>
      <c r="C25" s="34">
        <v>0</v>
      </c>
      <c r="D25" s="34">
        <v>0</v>
      </c>
      <c r="E25" s="34">
        <v>0</v>
      </c>
      <c r="F25" s="34">
        <v>0</v>
      </c>
    </row>
    <row r="26" spans="1:6" x14ac:dyDescent="0.2">
      <c r="A26" s="2" t="s">
        <v>71</v>
      </c>
      <c r="B26" s="9">
        <v>151012353</v>
      </c>
      <c r="C26" s="9">
        <v>73492069</v>
      </c>
      <c r="D26" s="9">
        <f>D19</f>
        <v>80506889</v>
      </c>
      <c r="E26" s="9">
        <f>E19</f>
        <v>98202419</v>
      </c>
      <c r="F26" s="9">
        <f>F19</f>
        <v>130005951</v>
      </c>
    </row>
    <row r="27" spans="1:6" x14ac:dyDescent="0.2">
      <c r="B27" s="8"/>
      <c r="C27" s="8"/>
      <c r="D27" s="8"/>
      <c r="E27" s="8"/>
      <c r="F27" s="8"/>
    </row>
    <row r="28" spans="1:6" x14ac:dyDescent="0.2">
      <c r="A28" s="90" t="s">
        <v>72</v>
      </c>
      <c r="B28" s="90"/>
      <c r="C28" s="90"/>
      <c r="D28" s="90"/>
      <c r="E28" s="90"/>
      <c r="F28" s="90"/>
    </row>
    <row r="29" spans="1:6" x14ac:dyDescent="0.2">
      <c r="B29" s="22">
        <v>2020</v>
      </c>
      <c r="C29" s="22">
        <v>2021</v>
      </c>
      <c r="D29" s="22">
        <v>2022</v>
      </c>
      <c r="E29" s="22">
        <v>2023</v>
      </c>
      <c r="F29" s="22">
        <v>2024</v>
      </c>
    </row>
    <row r="30" spans="1:6" x14ac:dyDescent="0.2">
      <c r="A30" s="3" t="s">
        <v>73</v>
      </c>
      <c r="B30" s="8">
        <v>3489448</v>
      </c>
      <c r="C30" s="8">
        <v>3487893</v>
      </c>
      <c r="D30" s="8">
        <v>5096794</v>
      </c>
      <c r="E30" s="8">
        <v>6444478</v>
      </c>
      <c r="F30" s="8">
        <v>0</v>
      </c>
    </row>
    <row r="31" spans="1:6" x14ac:dyDescent="0.2">
      <c r="A31" s="3" t="s">
        <v>74</v>
      </c>
      <c r="B31" s="8">
        <v>0</v>
      </c>
      <c r="C31" s="8">
        <v>3720000</v>
      </c>
      <c r="D31" s="8">
        <v>0</v>
      </c>
      <c r="E31" s="8">
        <v>0</v>
      </c>
      <c r="F31" s="8">
        <v>0</v>
      </c>
    </row>
    <row r="32" spans="1:6" x14ac:dyDescent="0.2">
      <c r="A32" s="3" t="s">
        <v>75</v>
      </c>
      <c r="B32" s="12">
        <v>510456</v>
      </c>
      <c r="C32" s="12">
        <v>1172315</v>
      </c>
      <c r="D32" s="12">
        <v>305210</v>
      </c>
      <c r="E32" s="12">
        <v>682158</v>
      </c>
      <c r="F32" s="12">
        <v>846468</v>
      </c>
    </row>
    <row r="33" spans="1:11" x14ac:dyDescent="0.2">
      <c r="A33" s="2" t="s">
        <v>61</v>
      </c>
      <c r="B33" s="9">
        <f>SUM(B30:B32)</f>
        <v>3999904</v>
      </c>
      <c r="C33" s="9">
        <f t="shared" ref="C33:F33" si="1">SUM(C30:C32)</f>
        <v>8380208</v>
      </c>
      <c r="D33" s="9">
        <f t="shared" si="1"/>
        <v>5402004</v>
      </c>
      <c r="E33" s="9">
        <f t="shared" si="1"/>
        <v>7126636</v>
      </c>
      <c r="F33" s="9">
        <f t="shared" si="1"/>
        <v>846468</v>
      </c>
    </row>
    <row r="34" spans="1:11" x14ac:dyDescent="0.2">
      <c r="B34" s="8"/>
      <c r="C34" s="8"/>
      <c r="D34" s="8"/>
      <c r="E34" s="8"/>
      <c r="F34" s="8"/>
    </row>
    <row r="35" spans="1:11" x14ac:dyDescent="0.2">
      <c r="A35" s="90" t="s">
        <v>76</v>
      </c>
      <c r="B35" s="90"/>
      <c r="C35" s="90"/>
      <c r="D35" s="90"/>
      <c r="E35" s="90"/>
      <c r="F35" s="90"/>
    </row>
    <row r="36" spans="1:11" x14ac:dyDescent="0.2">
      <c r="B36" s="22">
        <v>2020</v>
      </c>
      <c r="C36" s="22">
        <v>2021</v>
      </c>
      <c r="D36" s="22">
        <v>2022</v>
      </c>
      <c r="E36" s="22">
        <v>2023</v>
      </c>
      <c r="F36" s="22">
        <v>2024</v>
      </c>
    </row>
    <row r="37" spans="1:11" x14ac:dyDescent="0.2">
      <c r="A37" s="3" t="s">
        <v>77</v>
      </c>
      <c r="B37" s="8">
        <v>476602</v>
      </c>
      <c r="C37" s="8">
        <v>368820</v>
      </c>
      <c r="D37" s="8">
        <v>498330</v>
      </c>
      <c r="E37" s="8">
        <v>308321</v>
      </c>
      <c r="F37" s="8">
        <v>655581</v>
      </c>
    </row>
    <row r="38" spans="1:11" x14ac:dyDescent="0.2">
      <c r="A38" s="3" t="s">
        <v>78</v>
      </c>
      <c r="B38" s="8">
        <v>3307489</v>
      </c>
      <c r="C38" s="8">
        <v>8091356</v>
      </c>
      <c r="D38" s="8">
        <v>9884908</v>
      </c>
      <c r="E38" s="8">
        <v>7268671</v>
      </c>
      <c r="F38" s="8">
        <v>5829587</v>
      </c>
    </row>
    <row r="39" spans="1:11" x14ac:dyDescent="0.2">
      <c r="A39" s="3" t="s">
        <v>79</v>
      </c>
      <c r="B39" s="8">
        <v>2316173</v>
      </c>
      <c r="C39" s="8">
        <v>2316174</v>
      </c>
      <c r="D39" s="8">
        <v>176226</v>
      </c>
      <c r="E39" s="8">
        <v>176226</v>
      </c>
      <c r="F39" s="8">
        <v>176226</v>
      </c>
    </row>
    <row r="40" spans="1:11" x14ac:dyDescent="0.2">
      <c r="A40" s="3" t="s">
        <v>80</v>
      </c>
      <c r="B40" s="8">
        <v>0</v>
      </c>
      <c r="C40" s="8">
        <v>30775</v>
      </c>
      <c r="D40" s="8">
        <v>20226</v>
      </c>
      <c r="E40" s="8">
        <v>9277</v>
      </c>
      <c r="F40" s="8">
        <v>0</v>
      </c>
    </row>
    <row r="41" spans="1:11" x14ac:dyDescent="0.2">
      <c r="A41" s="3" t="s">
        <v>81</v>
      </c>
      <c r="B41" s="25">
        <v>17652998</v>
      </c>
      <c r="C41" s="25">
        <v>32030264</v>
      </c>
      <c r="D41" s="25">
        <v>35566845</v>
      </c>
      <c r="E41" s="25">
        <v>25049617</v>
      </c>
      <c r="F41" s="25">
        <v>14840439</v>
      </c>
    </row>
    <row r="42" spans="1:11" x14ac:dyDescent="0.2">
      <c r="A42" s="32" t="s">
        <v>194</v>
      </c>
      <c r="B42" s="12">
        <v>0</v>
      </c>
      <c r="C42" s="12">
        <v>0</v>
      </c>
      <c r="D42" s="12">
        <v>0</v>
      </c>
      <c r="E42" s="12">
        <v>0</v>
      </c>
      <c r="F42" s="12">
        <v>176226</v>
      </c>
    </row>
    <row r="43" spans="1:11" x14ac:dyDescent="0.2">
      <c r="A43" s="2" t="s">
        <v>61</v>
      </c>
      <c r="B43" s="9">
        <f>SUM(B37:B41)</f>
        <v>23753262</v>
      </c>
      <c r="C43" s="9">
        <f>SUM(C37:C41)</f>
        <v>42837389</v>
      </c>
      <c r="D43" s="9">
        <f t="shared" ref="D43:E43" si="2">SUM(D37:D41)</f>
        <v>46146535</v>
      </c>
      <c r="E43" s="9">
        <f t="shared" si="2"/>
        <v>32812112</v>
      </c>
      <c r="F43" s="9">
        <f>F37+F38+F39+F40+F41+-F42</f>
        <v>21325607</v>
      </c>
      <c r="G43" s="11"/>
    </row>
    <row r="44" spans="1:11" x14ac:dyDescent="0.2">
      <c r="B44" s="8"/>
      <c r="C44" s="8"/>
      <c r="D44" s="8"/>
      <c r="E44" s="8"/>
      <c r="F44" s="8"/>
      <c r="G44" s="11"/>
    </row>
    <row r="45" spans="1:11" x14ac:dyDescent="0.2">
      <c r="A45" s="90" t="s">
        <v>82</v>
      </c>
      <c r="B45" s="90"/>
      <c r="C45" s="90"/>
      <c r="D45" s="90"/>
      <c r="E45" s="90"/>
      <c r="F45" s="90"/>
      <c r="G45" s="11"/>
    </row>
    <row r="46" spans="1:11" x14ac:dyDescent="0.2">
      <c r="B46" s="94">
        <v>2020</v>
      </c>
      <c r="C46" s="94"/>
      <c r="D46" s="94">
        <v>2021</v>
      </c>
      <c r="E46" s="94"/>
      <c r="F46" s="94">
        <v>2022</v>
      </c>
      <c r="G46" s="94"/>
      <c r="H46" s="95">
        <v>2023</v>
      </c>
      <c r="I46" s="95"/>
      <c r="J46" s="95">
        <v>2024</v>
      </c>
      <c r="K46" s="95"/>
    </row>
    <row r="47" spans="1:11" x14ac:dyDescent="0.2">
      <c r="B47" s="9" t="s">
        <v>83</v>
      </c>
      <c r="C47" s="9" t="s">
        <v>84</v>
      </c>
      <c r="D47" s="9" t="s">
        <v>85</v>
      </c>
      <c r="E47" s="9" t="s">
        <v>84</v>
      </c>
      <c r="F47" s="9" t="s">
        <v>85</v>
      </c>
      <c r="G47" s="35" t="s">
        <v>147</v>
      </c>
      <c r="H47" s="35" t="s">
        <v>83</v>
      </c>
      <c r="I47" s="35" t="s">
        <v>147</v>
      </c>
      <c r="J47" s="2" t="s">
        <v>85</v>
      </c>
      <c r="K47" s="2" t="s">
        <v>147</v>
      </c>
    </row>
    <row r="48" spans="1:11" x14ac:dyDescent="0.2">
      <c r="A48" s="3" t="s">
        <v>86</v>
      </c>
      <c r="B48" s="8">
        <v>28110672</v>
      </c>
      <c r="C48" s="8">
        <v>3331052</v>
      </c>
      <c r="D48" s="8">
        <v>63961978</v>
      </c>
      <c r="E48" s="8">
        <v>3407769</v>
      </c>
      <c r="F48" s="8">
        <v>35604104</v>
      </c>
      <c r="G48" s="11">
        <v>19080090</v>
      </c>
      <c r="H48" s="11">
        <v>26347161</v>
      </c>
      <c r="I48" s="11">
        <v>23679054</v>
      </c>
      <c r="J48" s="11">
        <v>35721642</v>
      </c>
      <c r="K48" s="11">
        <v>17207924</v>
      </c>
    </row>
    <row r="49" spans="1:11" x14ac:dyDescent="0.2">
      <c r="A49" s="3" t="s">
        <v>87</v>
      </c>
      <c r="B49" s="8">
        <v>19490306</v>
      </c>
      <c r="C49" s="8">
        <v>7497304</v>
      </c>
      <c r="D49" s="8">
        <v>27150712</v>
      </c>
      <c r="E49" s="8">
        <v>7151554</v>
      </c>
      <c r="F49" s="8">
        <v>16120740</v>
      </c>
      <c r="G49" s="11">
        <v>9847303</v>
      </c>
      <c r="H49" s="11">
        <v>14720644</v>
      </c>
      <c r="I49" s="11">
        <v>8664306</v>
      </c>
      <c r="J49" s="11">
        <v>14716927</v>
      </c>
      <c r="K49" s="11">
        <v>4783115</v>
      </c>
    </row>
    <row r="50" spans="1:11" x14ac:dyDescent="0.2">
      <c r="A50" s="3" t="s">
        <v>88</v>
      </c>
      <c r="B50" s="8">
        <v>3281507</v>
      </c>
      <c r="C50" s="8">
        <v>0</v>
      </c>
      <c r="D50" s="8">
        <v>5162864</v>
      </c>
      <c r="E50" s="8">
        <v>0</v>
      </c>
      <c r="F50" s="8">
        <v>4449970</v>
      </c>
      <c r="G50" s="11">
        <v>0</v>
      </c>
      <c r="H50" s="11">
        <v>7342922</v>
      </c>
      <c r="I50" s="11">
        <v>0</v>
      </c>
      <c r="J50" s="11">
        <v>5626266</v>
      </c>
      <c r="K50" s="11">
        <v>0</v>
      </c>
    </row>
    <row r="51" spans="1:11" x14ac:dyDescent="0.2">
      <c r="A51" s="3" t="s">
        <v>89</v>
      </c>
      <c r="B51" s="8">
        <v>2492066</v>
      </c>
      <c r="C51" s="8">
        <v>0</v>
      </c>
      <c r="D51" s="8">
        <v>3211017</v>
      </c>
      <c r="E51" s="8">
        <v>0</v>
      </c>
      <c r="F51" s="8">
        <v>2841778</v>
      </c>
      <c r="G51" s="11">
        <v>48053</v>
      </c>
      <c r="H51" s="11">
        <v>1918172</v>
      </c>
      <c r="I51" s="11">
        <v>0</v>
      </c>
      <c r="J51" s="11">
        <v>2517087</v>
      </c>
      <c r="K51" s="11">
        <v>0</v>
      </c>
    </row>
    <row r="52" spans="1:11" x14ac:dyDescent="0.2">
      <c r="A52" s="3" t="s">
        <v>90</v>
      </c>
      <c r="B52" s="8">
        <v>160250182</v>
      </c>
      <c r="C52" s="8">
        <v>8693189</v>
      </c>
      <c r="D52" s="8">
        <v>138555037</v>
      </c>
      <c r="E52" s="8">
        <v>5978262</v>
      </c>
      <c r="F52" s="8">
        <v>132676431</v>
      </c>
      <c r="G52" s="11">
        <v>8048370</v>
      </c>
      <c r="H52" s="11">
        <v>161114841</v>
      </c>
      <c r="I52" s="11">
        <v>6730483</v>
      </c>
      <c r="J52" s="11">
        <v>185219877</v>
      </c>
      <c r="K52" s="11">
        <v>8346075</v>
      </c>
    </row>
    <row r="53" spans="1:11" x14ac:dyDescent="0.2">
      <c r="A53" s="3" t="s">
        <v>91</v>
      </c>
      <c r="B53" s="8">
        <v>1019419</v>
      </c>
      <c r="C53" s="8">
        <v>426712</v>
      </c>
      <c r="D53" s="8">
        <v>624582</v>
      </c>
      <c r="E53" s="8">
        <v>723362</v>
      </c>
      <c r="F53" s="8">
        <v>1088814</v>
      </c>
      <c r="G53" s="11">
        <v>497524</v>
      </c>
      <c r="H53" s="11">
        <v>476618</v>
      </c>
      <c r="I53" s="11">
        <v>653679</v>
      </c>
      <c r="J53" s="11">
        <v>865754</v>
      </c>
      <c r="K53" s="11">
        <v>528697</v>
      </c>
    </row>
    <row r="54" spans="1:11" x14ac:dyDescent="0.2">
      <c r="A54" s="3" t="s">
        <v>92</v>
      </c>
      <c r="B54" s="8">
        <v>2381984</v>
      </c>
      <c r="C54" s="8">
        <v>4067210</v>
      </c>
      <c r="D54" s="8">
        <v>3009448</v>
      </c>
      <c r="E54" s="8">
        <v>5020369</v>
      </c>
      <c r="F54" s="8">
        <v>3473296</v>
      </c>
      <c r="G54" s="11">
        <v>6047087</v>
      </c>
      <c r="H54" s="11">
        <v>3412761</v>
      </c>
      <c r="I54" s="11">
        <v>6967104</v>
      </c>
      <c r="J54" s="11">
        <v>2723135</v>
      </c>
      <c r="K54" s="11">
        <v>7735052</v>
      </c>
    </row>
    <row r="55" spans="1:11" x14ac:dyDescent="0.2">
      <c r="A55" s="3" t="s">
        <v>157</v>
      </c>
      <c r="B55" s="8">
        <v>0</v>
      </c>
      <c r="C55" s="8">
        <v>0</v>
      </c>
      <c r="D55" s="8">
        <v>0</v>
      </c>
      <c r="E55" s="8">
        <v>0</v>
      </c>
      <c r="F55" s="8">
        <v>158555</v>
      </c>
      <c r="G55" s="11">
        <v>0</v>
      </c>
      <c r="H55" s="11">
        <v>151272</v>
      </c>
      <c r="I55" s="11">
        <v>0</v>
      </c>
      <c r="J55" s="11">
        <v>131052</v>
      </c>
      <c r="K55" s="11">
        <v>0</v>
      </c>
    </row>
    <row r="56" spans="1:11" x14ac:dyDescent="0.2">
      <c r="A56" s="3" t="s">
        <v>93</v>
      </c>
      <c r="B56" s="12">
        <v>0</v>
      </c>
      <c r="C56" s="12">
        <v>1459107</v>
      </c>
      <c r="D56" s="12">
        <v>0</v>
      </c>
      <c r="E56" s="12">
        <v>0</v>
      </c>
      <c r="F56" s="12">
        <v>0</v>
      </c>
      <c r="G56" s="14">
        <v>0</v>
      </c>
      <c r="H56" s="15">
        <v>0</v>
      </c>
      <c r="I56" s="15">
        <v>0</v>
      </c>
      <c r="J56" s="15">
        <v>0</v>
      </c>
      <c r="K56" s="15">
        <v>0</v>
      </c>
    </row>
    <row r="57" spans="1:11" x14ac:dyDescent="0.2">
      <c r="A57" s="2" t="s">
        <v>94</v>
      </c>
      <c r="B57" s="9">
        <f t="shared" ref="B57:K57" si="3">SUM(B48:B56)</f>
        <v>217026136</v>
      </c>
      <c r="C57" s="9">
        <f t="shared" si="3"/>
        <v>25474574</v>
      </c>
      <c r="D57" s="9">
        <f t="shared" si="3"/>
        <v>241675638</v>
      </c>
      <c r="E57" s="9">
        <f t="shared" si="3"/>
        <v>22281316</v>
      </c>
      <c r="F57" s="9">
        <f t="shared" si="3"/>
        <v>196413688</v>
      </c>
      <c r="G57" s="9">
        <f t="shared" si="3"/>
        <v>43568427</v>
      </c>
      <c r="H57" s="9">
        <f t="shared" si="3"/>
        <v>215484391</v>
      </c>
      <c r="I57" s="9">
        <f t="shared" si="3"/>
        <v>46694626</v>
      </c>
      <c r="J57" s="9">
        <f t="shared" si="3"/>
        <v>247521740</v>
      </c>
      <c r="K57" s="9">
        <f t="shared" si="3"/>
        <v>38600863</v>
      </c>
    </row>
    <row r="58" spans="1:11" x14ac:dyDescent="0.2">
      <c r="A58" s="3" t="s">
        <v>95</v>
      </c>
      <c r="B58" s="12">
        <v>0</v>
      </c>
      <c r="C58" s="13">
        <v>8263471</v>
      </c>
      <c r="D58" s="12">
        <v>0</v>
      </c>
      <c r="E58" s="12">
        <v>2544555</v>
      </c>
      <c r="F58" s="12">
        <v>0</v>
      </c>
      <c r="G58" s="14">
        <v>2490595</v>
      </c>
      <c r="H58" s="15">
        <v>0</v>
      </c>
      <c r="I58" s="15">
        <v>2490555</v>
      </c>
      <c r="J58" s="15">
        <v>0</v>
      </c>
      <c r="K58" s="15">
        <v>3858316</v>
      </c>
    </row>
    <row r="59" spans="1:11" x14ac:dyDescent="0.2">
      <c r="A59" s="2" t="s">
        <v>96</v>
      </c>
      <c r="B59" s="9">
        <f>B57-B58</f>
        <v>217026136</v>
      </c>
      <c r="C59" s="9">
        <f>C57-C58</f>
        <v>17211103</v>
      </c>
      <c r="D59" s="9">
        <f t="shared" ref="D59:K59" si="4">D57-D58</f>
        <v>241675638</v>
      </c>
      <c r="E59" s="9">
        <f t="shared" si="4"/>
        <v>19736761</v>
      </c>
      <c r="F59" s="9">
        <f t="shared" si="4"/>
        <v>196413688</v>
      </c>
      <c r="G59" s="9">
        <f t="shared" si="4"/>
        <v>41077832</v>
      </c>
      <c r="H59" s="9">
        <f t="shared" si="4"/>
        <v>215484391</v>
      </c>
      <c r="I59" s="9">
        <f t="shared" si="4"/>
        <v>44204071</v>
      </c>
      <c r="J59" s="9">
        <f t="shared" si="4"/>
        <v>247521740</v>
      </c>
      <c r="K59" s="9">
        <f t="shared" si="4"/>
        <v>34742547</v>
      </c>
    </row>
    <row r="60" spans="1:11" x14ac:dyDescent="0.2">
      <c r="A60" s="3" t="s">
        <v>97</v>
      </c>
      <c r="B60" s="12">
        <v>28688216</v>
      </c>
      <c r="C60" s="12">
        <v>0</v>
      </c>
      <c r="D60" s="12">
        <v>17059613</v>
      </c>
      <c r="E60" s="12">
        <v>0</v>
      </c>
      <c r="F60" s="12">
        <v>20604407</v>
      </c>
      <c r="G60" s="14">
        <v>0</v>
      </c>
      <c r="H60" s="15">
        <v>31725773</v>
      </c>
      <c r="I60" s="15">
        <v>0</v>
      </c>
      <c r="J60" s="15">
        <v>19468713</v>
      </c>
      <c r="K60" s="15"/>
    </row>
    <row r="61" spans="1:11" x14ac:dyDescent="0.2">
      <c r="A61" s="2" t="s">
        <v>61</v>
      </c>
      <c r="B61" s="9">
        <f>SUM(B59:B60)</f>
        <v>245714352</v>
      </c>
      <c r="C61" s="9">
        <f t="shared" ref="C61:K61" si="5">SUM(C59:C60)</f>
        <v>17211103</v>
      </c>
      <c r="D61" s="9">
        <f t="shared" si="5"/>
        <v>258735251</v>
      </c>
      <c r="E61" s="9">
        <f t="shared" si="5"/>
        <v>19736761</v>
      </c>
      <c r="F61" s="9">
        <f t="shared" si="5"/>
        <v>217018095</v>
      </c>
      <c r="G61" s="9">
        <f t="shared" si="5"/>
        <v>41077832</v>
      </c>
      <c r="H61" s="9">
        <f t="shared" si="5"/>
        <v>247210164</v>
      </c>
      <c r="I61" s="9">
        <f t="shared" si="5"/>
        <v>44204071</v>
      </c>
      <c r="J61" s="9">
        <f t="shared" si="5"/>
        <v>266990453</v>
      </c>
      <c r="K61" s="9">
        <f t="shared" si="5"/>
        <v>34742547</v>
      </c>
    </row>
    <row r="62" spans="1:11" x14ac:dyDescent="0.2">
      <c r="B62" s="8"/>
      <c r="C62" s="8"/>
      <c r="D62" s="8"/>
      <c r="E62" s="8"/>
      <c r="F62" s="8"/>
      <c r="G62" s="11"/>
    </row>
    <row r="63" spans="1:11" x14ac:dyDescent="0.2">
      <c r="A63" s="90" t="s">
        <v>158</v>
      </c>
      <c r="B63" s="90"/>
      <c r="C63" s="90"/>
      <c r="D63" s="90"/>
      <c r="E63" s="90"/>
      <c r="F63" s="90"/>
      <c r="G63" s="11"/>
    </row>
    <row r="64" spans="1:11" x14ac:dyDescent="0.2">
      <c r="B64" s="22">
        <v>2020</v>
      </c>
      <c r="C64" s="22">
        <v>2021</v>
      </c>
      <c r="D64" s="22">
        <v>2022</v>
      </c>
      <c r="E64" s="22">
        <v>2023</v>
      </c>
      <c r="F64" s="22">
        <v>2024</v>
      </c>
      <c r="G64" s="11"/>
    </row>
    <row r="65" spans="1:7" x14ac:dyDescent="0.2">
      <c r="A65" s="2" t="s">
        <v>2</v>
      </c>
      <c r="B65" s="8"/>
      <c r="C65" s="8"/>
      <c r="D65" s="8"/>
      <c r="E65" s="8"/>
      <c r="F65" s="8"/>
      <c r="G65" s="11"/>
    </row>
    <row r="66" spans="1:7" x14ac:dyDescent="0.2">
      <c r="A66" s="3" t="s">
        <v>159</v>
      </c>
      <c r="B66" s="8">
        <v>0</v>
      </c>
      <c r="C66" s="8">
        <v>0</v>
      </c>
      <c r="D66" s="8">
        <v>7140830</v>
      </c>
      <c r="E66" s="8">
        <v>0</v>
      </c>
      <c r="F66" s="8">
        <v>0</v>
      </c>
      <c r="G66" s="11"/>
    </row>
    <row r="67" spans="1:7" x14ac:dyDescent="0.2">
      <c r="A67" s="3" t="s">
        <v>160</v>
      </c>
      <c r="B67" s="12">
        <v>0</v>
      </c>
      <c r="C67" s="12">
        <v>0</v>
      </c>
      <c r="D67" s="12">
        <v>0</v>
      </c>
      <c r="E67" s="12">
        <v>85523883</v>
      </c>
      <c r="F67" s="12">
        <v>153641074</v>
      </c>
      <c r="G67" s="11"/>
    </row>
    <row r="68" spans="1:7" x14ac:dyDescent="0.2">
      <c r="A68" s="3"/>
      <c r="B68" s="8">
        <f>SUM(B66:B67)</f>
        <v>0</v>
      </c>
      <c r="C68" s="8">
        <f>SUM(C66:C67)</f>
        <v>0</v>
      </c>
      <c r="D68" s="8">
        <f>SUM(D66:D67)</f>
        <v>7140830</v>
      </c>
      <c r="E68" s="8">
        <f t="shared" ref="E68:F68" si="6">SUM(E66:E67)</f>
        <v>85523883</v>
      </c>
      <c r="F68" s="8">
        <f t="shared" si="6"/>
        <v>153641074</v>
      </c>
      <c r="G68" s="11"/>
    </row>
    <row r="69" spans="1:7" x14ac:dyDescent="0.2">
      <c r="A69" s="2" t="s">
        <v>161</v>
      </c>
      <c r="B69" s="8"/>
      <c r="C69" s="8"/>
      <c r="D69" s="8"/>
      <c r="E69" s="8"/>
      <c r="F69" s="8"/>
      <c r="G69" s="11"/>
    </row>
    <row r="70" spans="1:7" x14ac:dyDescent="0.2">
      <c r="A70" s="3" t="s">
        <v>98</v>
      </c>
      <c r="B70" s="8">
        <v>3808563</v>
      </c>
      <c r="C70" s="8">
        <v>4188416</v>
      </c>
      <c r="D70" s="8">
        <v>6102936</v>
      </c>
      <c r="E70" s="8">
        <v>5230357</v>
      </c>
      <c r="F70" s="8">
        <v>5712169</v>
      </c>
      <c r="G70" s="11"/>
    </row>
    <row r="71" spans="1:7" x14ac:dyDescent="0.2">
      <c r="A71" s="3" t="s">
        <v>99</v>
      </c>
      <c r="B71" s="8">
        <v>7526388</v>
      </c>
      <c r="C71" s="8">
        <v>7969083</v>
      </c>
      <c r="D71" s="8">
        <v>8400283</v>
      </c>
      <c r="E71" s="8">
        <v>8698183</v>
      </c>
      <c r="F71" s="8">
        <v>9438363</v>
      </c>
      <c r="G71" s="11"/>
    </row>
    <row r="72" spans="1:7" x14ac:dyDescent="0.2">
      <c r="A72" s="3" t="s">
        <v>100</v>
      </c>
      <c r="B72" s="8">
        <v>178767</v>
      </c>
      <c r="C72" s="8">
        <v>178768</v>
      </c>
      <c r="D72" s="8">
        <v>178737</v>
      </c>
      <c r="E72" s="8">
        <v>178768</v>
      </c>
      <c r="F72" s="8">
        <v>178768</v>
      </c>
      <c r="G72" s="11"/>
    </row>
    <row r="73" spans="1:7" x14ac:dyDescent="0.2">
      <c r="A73" s="3" t="s">
        <v>101</v>
      </c>
      <c r="B73" s="8">
        <v>4706769</v>
      </c>
      <c r="C73" s="8">
        <v>4726708</v>
      </c>
      <c r="D73" s="8">
        <v>4312003</v>
      </c>
      <c r="E73" s="8">
        <v>4293648</v>
      </c>
      <c r="F73" s="8">
        <v>4671642</v>
      </c>
      <c r="G73" s="11"/>
    </row>
    <row r="74" spans="1:7" x14ac:dyDescent="0.2">
      <c r="A74" s="3" t="s">
        <v>102</v>
      </c>
      <c r="B74" s="8">
        <v>1403813</v>
      </c>
      <c r="C74" s="8">
        <v>1370144</v>
      </c>
      <c r="D74" s="8">
        <v>1324234</v>
      </c>
      <c r="E74" s="8">
        <v>1280322</v>
      </c>
      <c r="F74" s="8">
        <v>1235411</v>
      </c>
      <c r="G74" s="11"/>
    </row>
    <row r="75" spans="1:7" x14ac:dyDescent="0.2">
      <c r="A75" s="3" t="s">
        <v>103</v>
      </c>
      <c r="B75" s="8">
        <v>21572</v>
      </c>
      <c r="C75" s="8">
        <v>21572</v>
      </c>
      <c r="D75" s="8">
        <v>3229336</v>
      </c>
      <c r="E75" s="8">
        <v>1741707</v>
      </c>
      <c r="F75" s="8">
        <v>1664963</v>
      </c>
      <c r="G75" s="11"/>
    </row>
    <row r="76" spans="1:7" x14ac:dyDescent="0.2">
      <c r="A76" s="3" t="s">
        <v>162</v>
      </c>
      <c r="B76" s="8">
        <v>0</v>
      </c>
      <c r="C76" s="8">
        <v>0</v>
      </c>
      <c r="D76" s="8">
        <v>0</v>
      </c>
      <c r="E76" s="8">
        <v>123086351</v>
      </c>
      <c r="F76" s="8">
        <v>61939433</v>
      </c>
      <c r="G76" s="11"/>
    </row>
    <row r="77" spans="1:7" x14ac:dyDescent="0.2">
      <c r="A77" s="3" t="s">
        <v>163</v>
      </c>
      <c r="B77" s="12">
        <v>0</v>
      </c>
      <c r="C77" s="12">
        <v>0</v>
      </c>
      <c r="D77" s="12">
        <v>0</v>
      </c>
      <c r="E77" s="12">
        <v>5230357</v>
      </c>
      <c r="F77" s="12">
        <v>5230357</v>
      </c>
      <c r="G77" s="11"/>
    </row>
    <row r="78" spans="1:7" x14ac:dyDescent="0.2">
      <c r="A78" s="2" t="s">
        <v>61</v>
      </c>
      <c r="B78" s="9">
        <f>SUM(B70:B77)</f>
        <v>17645872</v>
      </c>
      <c r="C78" s="9">
        <f>SUM(C70:C77)</f>
        <v>18454691</v>
      </c>
      <c r="D78" s="9">
        <f>SUM(D70:D77)</f>
        <v>23547529</v>
      </c>
      <c r="E78" s="9">
        <v>139278979</v>
      </c>
      <c r="F78" s="9">
        <v>79610392</v>
      </c>
      <c r="G78" s="11"/>
    </row>
    <row r="79" spans="1:7" x14ac:dyDescent="0.2">
      <c r="B79" s="8"/>
      <c r="C79" s="8"/>
      <c r="D79" s="8"/>
      <c r="E79" s="8"/>
      <c r="F79" s="8"/>
      <c r="G79" s="11"/>
    </row>
    <row r="80" spans="1:7" x14ac:dyDescent="0.2">
      <c r="A80" s="90" t="s">
        <v>104</v>
      </c>
      <c r="B80" s="90"/>
      <c r="C80" s="90"/>
      <c r="D80" s="90"/>
      <c r="E80" s="90"/>
      <c r="F80" s="90"/>
      <c r="G80" s="11"/>
    </row>
    <row r="81" spans="1:7" x14ac:dyDescent="0.2">
      <c r="B81" s="94">
        <v>2020</v>
      </c>
      <c r="C81" s="94"/>
      <c r="D81" s="94"/>
      <c r="E81" s="94"/>
      <c r="F81" s="10"/>
      <c r="G81" s="11"/>
    </row>
    <row r="82" spans="1:7" x14ac:dyDescent="0.2">
      <c r="B82" s="9" t="s">
        <v>105</v>
      </c>
      <c r="C82" s="9" t="s">
        <v>106</v>
      </c>
      <c r="D82" s="9" t="s">
        <v>107</v>
      </c>
      <c r="E82" s="9" t="s">
        <v>108</v>
      </c>
      <c r="F82" s="8"/>
      <c r="G82" s="11"/>
    </row>
    <row r="83" spans="1:7" x14ac:dyDescent="0.2">
      <c r="A83" s="3" t="s">
        <v>109</v>
      </c>
      <c r="B83" s="8">
        <v>43563330</v>
      </c>
      <c r="C83" s="8">
        <v>0</v>
      </c>
      <c r="D83" s="8">
        <v>0</v>
      </c>
      <c r="E83" s="8">
        <v>43563330</v>
      </c>
      <c r="F83" s="8"/>
      <c r="G83" s="11"/>
    </row>
    <row r="84" spans="1:7" x14ac:dyDescent="0.2">
      <c r="A84" s="3" t="s">
        <v>110</v>
      </c>
      <c r="B84" s="8">
        <v>171189665</v>
      </c>
      <c r="C84" s="8">
        <v>68851507</v>
      </c>
      <c r="D84" s="8">
        <v>12053788</v>
      </c>
      <c r="E84" s="8">
        <v>90284370</v>
      </c>
      <c r="F84" s="8"/>
      <c r="G84" s="11"/>
    </row>
    <row r="85" spans="1:7" x14ac:dyDescent="0.2">
      <c r="A85" s="3" t="s">
        <v>111</v>
      </c>
      <c r="B85" s="8">
        <v>218061489</v>
      </c>
      <c r="C85" s="8">
        <v>159472695</v>
      </c>
      <c r="D85" s="8">
        <v>0</v>
      </c>
      <c r="E85" s="8">
        <v>58588794</v>
      </c>
      <c r="F85" s="8"/>
      <c r="G85" s="11"/>
    </row>
    <row r="86" spans="1:7" x14ac:dyDescent="0.2">
      <c r="A86" s="3" t="s">
        <v>112</v>
      </c>
      <c r="B86" s="8">
        <v>6941690</v>
      </c>
      <c r="C86" s="8">
        <v>3362048</v>
      </c>
      <c r="D86" s="8">
        <v>0</v>
      </c>
      <c r="E86" s="8">
        <v>3579642</v>
      </c>
      <c r="F86" s="8"/>
      <c r="G86" s="11"/>
    </row>
    <row r="87" spans="1:7" x14ac:dyDescent="0.2">
      <c r="A87" s="3" t="s">
        <v>113</v>
      </c>
      <c r="B87" s="8">
        <v>9786942</v>
      </c>
      <c r="C87" s="8">
        <v>3962279</v>
      </c>
      <c r="D87" s="8">
        <v>0</v>
      </c>
      <c r="E87" s="8">
        <v>2824663</v>
      </c>
      <c r="F87" s="8"/>
      <c r="G87" s="11"/>
    </row>
    <row r="88" spans="1:7" x14ac:dyDescent="0.2">
      <c r="A88" s="3" t="s">
        <v>114</v>
      </c>
      <c r="B88" s="8">
        <v>8965415</v>
      </c>
      <c r="C88" s="8">
        <v>5168893</v>
      </c>
      <c r="D88" s="8">
        <v>0</v>
      </c>
      <c r="E88" s="8">
        <v>3796522</v>
      </c>
      <c r="F88" s="8"/>
      <c r="G88" s="11"/>
    </row>
    <row r="89" spans="1:7" x14ac:dyDescent="0.2">
      <c r="A89" s="3" t="s">
        <v>115</v>
      </c>
      <c r="B89" s="12">
        <v>29978712</v>
      </c>
      <c r="C89" s="12">
        <v>0</v>
      </c>
      <c r="D89" s="12">
        <v>0</v>
      </c>
      <c r="E89" s="12">
        <v>29978712</v>
      </c>
      <c r="F89" s="8"/>
      <c r="G89" s="11"/>
    </row>
    <row r="90" spans="1:7" x14ac:dyDescent="0.2">
      <c r="A90" s="2" t="s">
        <v>61</v>
      </c>
      <c r="B90" s="9">
        <f>SUM(B83:B89)</f>
        <v>488487243</v>
      </c>
      <c r="C90" s="9">
        <f>SUM(C83:C89)</f>
        <v>240817422</v>
      </c>
      <c r="D90" s="9">
        <f>SUM(D83:D89)</f>
        <v>12053788</v>
      </c>
      <c r="E90" s="9">
        <f>SUM(E83:E89)</f>
        <v>232616033</v>
      </c>
      <c r="F90" s="8"/>
      <c r="G90" s="11"/>
    </row>
    <row r="91" spans="1:7" x14ac:dyDescent="0.2">
      <c r="A91" s="2"/>
      <c r="B91" s="9"/>
      <c r="C91" s="9"/>
      <c r="D91" s="9"/>
      <c r="E91" s="9"/>
      <c r="F91" s="8"/>
      <c r="G91" s="11"/>
    </row>
    <row r="92" spans="1:7" x14ac:dyDescent="0.2">
      <c r="B92" s="94">
        <v>2021</v>
      </c>
      <c r="C92" s="94"/>
      <c r="D92" s="94"/>
      <c r="E92" s="94"/>
      <c r="F92" s="8"/>
      <c r="G92" s="11"/>
    </row>
    <row r="93" spans="1:7" x14ac:dyDescent="0.2">
      <c r="B93" s="9" t="s">
        <v>105</v>
      </c>
      <c r="C93" s="9" t="s">
        <v>106</v>
      </c>
      <c r="D93" s="9" t="s">
        <v>107</v>
      </c>
      <c r="E93" s="9" t="s">
        <v>108</v>
      </c>
      <c r="F93" s="8"/>
      <c r="G93" s="11"/>
    </row>
    <row r="94" spans="1:7" x14ac:dyDescent="0.2">
      <c r="A94" s="3" t="s">
        <v>109</v>
      </c>
      <c r="B94" s="8">
        <v>49311425</v>
      </c>
      <c r="C94" s="8">
        <v>0</v>
      </c>
      <c r="D94" s="8">
        <v>0</v>
      </c>
      <c r="E94" s="8">
        <v>49311425</v>
      </c>
      <c r="F94" s="8"/>
      <c r="G94" s="11"/>
    </row>
    <row r="95" spans="1:7" x14ac:dyDescent="0.2">
      <c r="A95" s="3" t="s">
        <v>110</v>
      </c>
      <c r="B95" s="8">
        <v>172588061</v>
      </c>
      <c r="C95" s="8">
        <v>73679010</v>
      </c>
      <c r="D95" s="8">
        <v>12053788</v>
      </c>
      <c r="E95" s="8">
        <v>86855263</v>
      </c>
      <c r="F95" s="8"/>
      <c r="G95" s="11"/>
    </row>
    <row r="96" spans="1:7" x14ac:dyDescent="0.2">
      <c r="A96" s="3" t="s">
        <v>111</v>
      </c>
      <c r="B96" s="8">
        <v>223256921</v>
      </c>
      <c r="C96" s="8">
        <v>173127922</v>
      </c>
      <c r="D96" s="8">
        <v>0</v>
      </c>
      <c r="E96" s="8">
        <v>50128999</v>
      </c>
      <c r="F96" s="8"/>
      <c r="G96" s="11"/>
    </row>
    <row r="97" spans="1:7" x14ac:dyDescent="0.2">
      <c r="A97" s="3" t="s">
        <v>112</v>
      </c>
      <c r="B97" s="8">
        <v>7927408</v>
      </c>
      <c r="C97" s="8">
        <v>4714022</v>
      </c>
      <c r="D97" s="8">
        <v>0</v>
      </c>
      <c r="E97" s="8">
        <v>3213386</v>
      </c>
      <c r="F97" s="8"/>
      <c r="G97" s="11"/>
    </row>
    <row r="98" spans="1:7" x14ac:dyDescent="0.2">
      <c r="A98" s="3" t="s">
        <v>113</v>
      </c>
      <c r="B98" s="8">
        <v>5160545</v>
      </c>
      <c r="C98" s="8">
        <v>2792114</v>
      </c>
      <c r="D98" s="8">
        <v>0</v>
      </c>
      <c r="E98" s="8">
        <v>2368431</v>
      </c>
      <c r="F98" s="8"/>
      <c r="G98" s="11"/>
    </row>
    <row r="99" spans="1:7" x14ac:dyDescent="0.2">
      <c r="A99" s="3" t="s">
        <v>114</v>
      </c>
      <c r="B99" s="8">
        <v>9769231</v>
      </c>
      <c r="C99" s="8">
        <v>5951307</v>
      </c>
      <c r="D99" s="8">
        <v>0</v>
      </c>
      <c r="E99" s="8">
        <v>3817924</v>
      </c>
      <c r="F99" s="8"/>
      <c r="G99" s="11"/>
    </row>
    <row r="100" spans="1:7" x14ac:dyDescent="0.2">
      <c r="A100" s="3" t="s">
        <v>116</v>
      </c>
      <c r="B100" s="8">
        <v>215806</v>
      </c>
      <c r="C100" s="8">
        <v>4496</v>
      </c>
      <c r="D100" s="8">
        <v>0</v>
      </c>
      <c r="E100" s="8">
        <v>211310</v>
      </c>
      <c r="F100" s="8"/>
      <c r="G100" s="11"/>
    </row>
    <row r="101" spans="1:7" x14ac:dyDescent="0.2">
      <c r="A101" s="3" t="s">
        <v>115</v>
      </c>
      <c r="B101" s="12">
        <v>57166198</v>
      </c>
      <c r="C101" s="12">
        <v>0</v>
      </c>
      <c r="D101" s="12">
        <v>0</v>
      </c>
      <c r="E101" s="12">
        <v>57166198</v>
      </c>
      <c r="F101" s="8"/>
      <c r="G101" s="11"/>
    </row>
    <row r="102" spans="1:7" x14ac:dyDescent="0.2">
      <c r="A102" s="2" t="s">
        <v>61</v>
      </c>
      <c r="B102" s="9">
        <f>SUM(B94:B101)</f>
        <v>525395595</v>
      </c>
      <c r="C102" s="9">
        <f>SUM(C94:C101)</f>
        <v>260268871</v>
      </c>
      <c r="D102" s="9">
        <f t="shared" ref="D102:E102" si="7">SUM(D94:D101)</f>
        <v>12053788</v>
      </c>
      <c r="E102" s="9">
        <f t="shared" si="7"/>
        <v>253072936</v>
      </c>
      <c r="F102" s="8"/>
      <c r="G102" s="11"/>
    </row>
    <row r="103" spans="1:7" x14ac:dyDescent="0.2">
      <c r="A103" s="2"/>
      <c r="B103" s="9"/>
      <c r="C103" s="9"/>
      <c r="D103" s="9"/>
      <c r="E103" s="9"/>
      <c r="F103" s="8"/>
      <c r="G103" s="11"/>
    </row>
    <row r="104" spans="1:7" x14ac:dyDescent="0.2">
      <c r="B104" s="94">
        <v>2022</v>
      </c>
      <c r="C104" s="94"/>
      <c r="D104" s="94"/>
      <c r="E104" s="94"/>
      <c r="F104" s="8"/>
      <c r="G104" s="11"/>
    </row>
    <row r="105" spans="1:7" x14ac:dyDescent="0.2">
      <c r="B105" s="9" t="s">
        <v>105</v>
      </c>
      <c r="C105" s="9" t="s">
        <v>106</v>
      </c>
      <c r="D105" s="9" t="s">
        <v>107</v>
      </c>
      <c r="E105" s="9" t="s">
        <v>108</v>
      </c>
      <c r="F105" s="8"/>
      <c r="G105" s="11"/>
    </row>
    <row r="106" spans="1:7" x14ac:dyDescent="0.2">
      <c r="A106" s="3" t="s">
        <v>109</v>
      </c>
      <c r="B106" s="8">
        <v>49311425</v>
      </c>
      <c r="C106" s="8">
        <v>0</v>
      </c>
      <c r="D106" s="8">
        <v>0</v>
      </c>
      <c r="E106" s="8">
        <v>49311425</v>
      </c>
      <c r="F106" s="8"/>
      <c r="G106" s="11"/>
    </row>
    <row r="107" spans="1:7" x14ac:dyDescent="0.2">
      <c r="A107" s="3" t="s">
        <v>110</v>
      </c>
      <c r="B107" s="8">
        <v>172588061</v>
      </c>
      <c r="C107" s="8">
        <v>77944085</v>
      </c>
      <c r="D107" s="8">
        <v>12053788</v>
      </c>
      <c r="E107" s="8">
        <v>82590188</v>
      </c>
      <c r="F107" s="8"/>
      <c r="G107" s="11"/>
    </row>
    <row r="108" spans="1:7" x14ac:dyDescent="0.2">
      <c r="A108" s="3" t="s">
        <v>111</v>
      </c>
      <c r="B108" s="8">
        <v>226847327</v>
      </c>
      <c r="C108" s="8">
        <v>185368035</v>
      </c>
      <c r="D108" s="8">
        <v>0</v>
      </c>
      <c r="E108" s="8">
        <v>41479292</v>
      </c>
      <c r="F108" s="8"/>
      <c r="G108" s="11"/>
    </row>
    <row r="109" spans="1:7" x14ac:dyDescent="0.2">
      <c r="A109" s="3" t="s">
        <v>112</v>
      </c>
      <c r="B109" s="8">
        <v>8470618</v>
      </c>
      <c r="C109" s="8">
        <v>4640252</v>
      </c>
      <c r="D109" s="8">
        <v>0</v>
      </c>
      <c r="E109" s="8">
        <v>3830366</v>
      </c>
      <c r="F109" s="8"/>
      <c r="G109" s="11"/>
    </row>
    <row r="110" spans="1:7" x14ac:dyDescent="0.2">
      <c r="A110" s="3" t="s">
        <v>113</v>
      </c>
      <c r="B110" s="8">
        <v>6475792</v>
      </c>
      <c r="C110" s="8">
        <v>3994009</v>
      </c>
      <c r="D110" s="8">
        <v>0</v>
      </c>
      <c r="E110" s="8">
        <v>2481783</v>
      </c>
      <c r="F110" s="8"/>
      <c r="G110" s="11"/>
    </row>
    <row r="111" spans="1:7" x14ac:dyDescent="0.2">
      <c r="A111" s="3" t="s">
        <v>114</v>
      </c>
      <c r="B111" s="8">
        <v>12833953</v>
      </c>
      <c r="C111" s="8">
        <v>6854875</v>
      </c>
      <c r="D111" s="8">
        <v>0</v>
      </c>
      <c r="E111" s="8">
        <v>5979078</v>
      </c>
      <c r="F111" s="8"/>
      <c r="G111" s="11"/>
    </row>
    <row r="112" spans="1:7" x14ac:dyDescent="0.2">
      <c r="A112" s="3" t="s">
        <v>116</v>
      </c>
      <c r="B112" s="8">
        <v>215807</v>
      </c>
      <c r="C112" s="8">
        <v>31472</v>
      </c>
      <c r="D112" s="8">
        <v>0</v>
      </c>
      <c r="E112" s="8">
        <v>184335</v>
      </c>
      <c r="F112" s="8"/>
      <c r="G112" s="11"/>
    </row>
    <row r="113" spans="1:7" x14ac:dyDescent="0.2">
      <c r="A113" s="3" t="s">
        <v>115</v>
      </c>
      <c r="B113" s="12">
        <v>110805520</v>
      </c>
      <c r="C113" s="12">
        <v>0</v>
      </c>
      <c r="D113" s="12">
        <v>0</v>
      </c>
      <c r="E113" s="12">
        <v>110805520</v>
      </c>
      <c r="F113" s="8"/>
      <c r="G113" s="11"/>
    </row>
    <row r="114" spans="1:7" x14ac:dyDescent="0.2">
      <c r="A114" s="2" t="s">
        <v>61</v>
      </c>
      <c r="B114" s="9">
        <f>SUM(B106:B113)</f>
        <v>587548503</v>
      </c>
      <c r="C114" s="9">
        <f t="shared" ref="C114:E114" si="8">SUM(C106:C113)</f>
        <v>278832728</v>
      </c>
      <c r="D114" s="9">
        <f t="shared" si="8"/>
        <v>12053788</v>
      </c>
      <c r="E114" s="9">
        <f t="shared" si="8"/>
        <v>296661987</v>
      </c>
      <c r="F114" s="8"/>
      <c r="G114" s="11"/>
    </row>
    <row r="115" spans="1:7" x14ac:dyDescent="0.2">
      <c r="A115" s="2"/>
      <c r="B115" s="9"/>
      <c r="C115" s="9"/>
      <c r="D115" s="9"/>
      <c r="E115" s="9"/>
      <c r="F115" s="8"/>
      <c r="G115" s="11"/>
    </row>
    <row r="116" spans="1:7" x14ac:dyDescent="0.2">
      <c r="B116" s="94">
        <v>2023</v>
      </c>
      <c r="C116" s="94"/>
      <c r="D116" s="94"/>
      <c r="E116" s="94"/>
      <c r="F116" s="8"/>
      <c r="G116" s="11"/>
    </row>
    <row r="117" spans="1:7" x14ac:dyDescent="0.2">
      <c r="B117" s="9" t="s">
        <v>105</v>
      </c>
      <c r="C117" s="9" t="s">
        <v>106</v>
      </c>
      <c r="D117" s="9" t="s">
        <v>107</v>
      </c>
      <c r="E117" s="9" t="s">
        <v>108</v>
      </c>
      <c r="F117" s="8"/>
      <c r="G117" s="11"/>
    </row>
    <row r="118" spans="1:7" x14ac:dyDescent="0.2">
      <c r="A118" s="3" t="s">
        <v>109</v>
      </c>
      <c r="B118" s="8">
        <v>49311425</v>
      </c>
      <c r="C118" s="8">
        <v>0</v>
      </c>
      <c r="D118" s="8">
        <v>0</v>
      </c>
      <c r="E118" s="8">
        <v>49311425</v>
      </c>
      <c r="F118" s="8"/>
      <c r="G118" s="11"/>
    </row>
    <row r="119" spans="1:7" x14ac:dyDescent="0.2">
      <c r="A119" s="3" t="s">
        <v>110</v>
      </c>
      <c r="B119" s="8">
        <v>234362958</v>
      </c>
      <c r="C119" s="8">
        <v>82472483</v>
      </c>
      <c r="D119" s="8">
        <v>12053788</v>
      </c>
      <c r="E119" s="8">
        <v>139836687</v>
      </c>
      <c r="F119" s="8"/>
      <c r="G119" s="11"/>
    </row>
    <row r="120" spans="1:7" x14ac:dyDescent="0.2">
      <c r="A120" s="3" t="s">
        <v>111</v>
      </c>
      <c r="B120" s="8">
        <v>261082693</v>
      </c>
      <c r="C120" s="8">
        <v>197486069</v>
      </c>
      <c r="D120" s="8">
        <v>0</v>
      </c>
      <c r="E120" s="8">
        <v>63596624</v>
      </c>
      <c r="F120" s="8"/>
      <c r="G120" s="11"/>
    </row>
    <row r="121" spans="1:7" x14ac:dyDescent="0.2">
      <c r="A121" s="3" t="s">
        <v>112</v>
      </c>
      <c r="B121" s="8">
        <v>9275314</v>
      </c>
      <c r="C121" s="8">
        <v>5842534</v>
      </c>
      <c r="D121" s="8">
        <v>0</v>
      </c>
      <c r="E121" s="8">
        <v>3432780</v>
      </c>
      <c r="F121" s="8"/>
      <c r="G121" s="11"/>
    </row>
    <row r="122" spans="1:7" x14ac:dyDescent="0.2">
      <c r="A122" s="3" t="s">
        <v>113</v>
      </c>
      <c r="B122" s="8">
        <v>8176423</v>
      </c>
      <c r="C122" s="8">
        <v>4767591</v>
      </c>
      <c r="D122" s="8">
        <v>0</v>
      </c>
      <c r="E122" s="8">
        <v>3408832</v>
      </c>
      <c r="F122" s="8"/>
      <c r="G122" s="11"/>
    </row>
    <row r="123" spans="1:7" x14ac:dyDescent="0.2">
      <c r="A123" s="3" t="s">
        <v>114</v>
      </c>
      <c r="B123" s="8">
        <v>14110456</v>
      </c>
      <c r="C123" s="8">
        <v>7892705</v>
      </c>
      <c r="D123" s="8">
        <v>0</v>
      </c>
      <c r="E123" s="8">
        <v>6217751</v>
      </c>
      <c r="F123" s="8"/>
      <c r="G123" s="11"/>
    </row>
    <row r="124" spans="1:7" x14ac:dyDescent="0.2">
      <c r="A124" s="3" t="s">
        <v>116</v>
      </c>
      <c r="B124" s="8">
        <v>215807</v>
      </c>
      <c r="C124" s="8">
        <v>58448</v>
      </c>
      <c r="D124" s="8">
        <v>0</v>
      </c>
      <c r="E124" s="8">
        <v>157359</v>
      </c>
      <c r="F124" s="8"/>
      <c r="G124" s="11"/>
    </row>
    <row r="125" spans="1:7" x14ac:dyDescent="0.2">
      <c r="A125" s="3" t="s">
        <v>115</v>
      </c>
      <c r="B125" s="12">
        <v>74509999</v>
      </c>
      <c r="C125" s="12">
        <v>0</v>
      </c>
      <c r="D125" s="12">
        <v>0</v>
      </c>
      <c r="E125" s="12">
        <v>74509999</v>
      </c>
      <c r="F125" s="8"/>
      <c r="G125" s="11"/>
    </row>
    <row r="126" spans="1:7" x14ac:dyDescent="0.2">
      <c r="A126" s="2" t="s">
        <v>61</v>
      </c>
      <c r="B126" s="9">
        <f>SUM(B118:B125)</f>
        <v>651045075</v>
      </c>
      <c r="C126" s="9">
        <f t="shared" ref="C126:E126" si="9">SUM(C118:C125)</f>
        <v>298519830</v>
      </c>
      <c r="D126" s="9">
        <f t="shared" si="9"/>
        <v>12053788</v>
      </c>
      <c r="E126" s="9">
        <f t="shared" si="9"/>
        <v>340471457</v>
      </c>
      <c r="F126" s="8"/>
      <c r="G126" s="11"/>
    </row>
    <row r="127" spans="1:7" x14ac:dyDescent="0.2">
      <c r="A127" s="2"/>
      <c r="B127" s="9"/>
      <c r="C127" s="9"/>
      <c r="D127" s="9"/>
      <c r="E127" s="9"/>
      <c r="F127" s="8"/>
      <c r="G127" s="11"/>
    </row>
    <row r="128" spans="1:7" x14ac:dyDescent="0.2">
      <c r="B128" s="94">
        <v>2024</v>
      </c>
      <c r="C128" s="94"/>
      <c r="D128" s="94"/>
      <c r="E128" s="94"/>
      <c r="F128" s="8"/>
      <c r="G128" s="11"/>
    </row>
    <row r="129" spans="1:7" x14ac:dyDescent="0.2">
      <c r="B129" s="9" t="s">
        <v>105</v>
      </c>
      <c r="C129" s="9" t="s">
        <v>106</v>
      </c>
      <c r="D129" s="9" t="s">
        <v>107</v>
      </c>
      <c r="E129" s="9" t="s">
        <v>108</v>
      </c>
      <c r="F129" s="8"/>
      <c r="G129" s="11"/>
    </row>
    <row r="130" spans="1:7" x14ac:dyDescent="0.2">
      <c r="A130" s="3" t="s">
        <v>109</v>
      </c>
      <c r="B130" s="8">
        <v>49311425</v>
      </c>
      <c r="C130" s="8">
        <v>0</v>
      </c>
      <c r="D130" s="8">
        <v>0</v>
      </c>
      <c r="E130" s="8">
        <v>49311425</v>
      </c>
      <c r="F130" s="8"/>
      <c r="G130" s="11"/>
    </row>
    <row r="131" spans="1:7" x14ac:dyDescent="0.2">
      <c r="A131" s="3" t="s">
        <v>110</v>
      </c>
      <c r="B131" s="8">
        <v>234362958</v>
      </c>
      <c r="C131" s="8">
        <v>82472483</v>
      </c>
      <c r="D131" s="8">
        <v>12053788</v>
      </c>
      <c r="E131" s="8">
        <v>139836687</v>
      </c>
      <c r="F131" s="8"/>
      <c r="G131" s="11"/>
    </row>
    <row r="132" spans="1:7" x14ac:dyDescent="0.2">
      <c r="A132" s="3" t="s">
        <v>111</v>
      </c>
      <c r="B132" s="8">
        <v>261082693</v>
      </c>
      <c r="C132" s="8">
        <v>197486069</v>
      </c>
      <c r="D132" s="8">
        <v>0</v>
      </c>
      <c r="E132" s="8">
        <v>63596624</v>
      </c>
      <c r="F132" s="8"/>
      <c r="G132" s="11"/>
    </row>
    <row r="133" spans="1:7" x14ac:dyDescent="0.2">
      <c r="A133" s="3" t="s">
        <v>112</v>
      </c>
      <c r="B133" s="8">
        <v>9275314</v>
      </c>
      <c r="C133" s="8">
        <v>5842534</v>
      </c>
      <c r="D133" s="8">
        <v>0</v>
      </c>
      <c r="E133" s="8">
        <v>3432780</v>
      </c>
      <c r="F133" s="8"/>
      <c r="G133" s="11"/>
    </row>
    <row r="134" spans="1:7" x14ac:dyDescent="0.2">
      <c r="A134" s="3" t="s">
        <v>113</v>
      </c>
      <c r="B134" s="8">
        <v>8176423</v>
      </c>
      <c r="C134" s="8">
        <v>4767591</v>
      </c>
      <c r="D134" s="8">
        <v>0</v>
      </c>
      <c r="E134" s="8">
        <v>3408832</v>
      </c>
      <c r="F134" s="8"/>
      <c r="G134" s="11"/>
    </row>
    <row r="135" spans="1:7" x14ac:dyDescent="0.2">
      <c r="A135" s="3" t="s">
        <v>114</v>
      </c>
      <c r="B135" s="25">
        <v>14110456</v>
      </c>
      <c r="C135" s="25">
        <v>7892705</v>
      </c>
      <c r="D135" s="25">
        <v>0</v>
      </c>
      <c r="E135" s="25">
        <v>6217751</v>
      </c>
      <c r="F135" s="8"/>
      <c r="G135" s="11"/>
    </row>
    <row r="136" spans="1:7" x14ac:dyDescent="0.2">
      <c r="A136" s="32" t="s">
        <v>116</v>
      </c>
      <c r="B136" s="25">
        <v>150807</v>
      </c>
      <c r="C136" s="25">
        <v>58448</v>
      </c>
      <c r="D136" s="25">
        <v>0</v>
      </c>
      <c r="E136" s="25">
        <v>157359</v>
      </c>
      <c r="F136" s="8"/>
      <c r="G136" s="11"/>
    </row>
    <row r="137" spans="1:7" x14ac:dyDescent="0.2">
      <c r="A137" s="3" t="s">
        <v>115</v>
      </c>
      <c r="B137" s="12">
        <v>74509999</v>
      </c>
      <c r="C137" s="12">
        <v>0</v>
      </c>
      <c r="D137" s="12">
        <v>0</v>
      </c>
      <c r="E137" s="12">
        <v>74509999</v>
      </c>
      <c r="F137" s="7"/>
    </row>
    <row r="138" spans="1:7" x14ac:dyDescent="0.2">
      <c r="A138" s="2" t="s">
        <v>61</v>
      </c>
      <c r="B138" s="9">
        <f>SUM(B130:B137)</f>
        <v>650980075</v>
      </c>
      <c r="C138" s="9">
        <f t="shared" ref="C138:E138" si="10">SUM(C130:C137)</f>
        <v>298519830</v>
      </c>
      <c r="D138" s="9">
        <f t="shared" si="10"/>
        <v>12053788</v>
      </c>
      <c r="E138" s="9">
        <f t="shared" si="10"/>
        <v>340471457</v>
      </c>
      <c r="F138" s="7"/>
    </row>
    <row r="139" spans="1:7" x14ac:dyDescent="0.2">
      <c r="B139" s="7"/>
      <c r="C139" s="7"/>
      <c r="D139" s="7"/>
      <c r="E139" s="7"/>
      <c r="F139" s="7"/>
    </row>
    <row r="140" spans="1:7" x14ac:dyDescent="0.2">
      <c r="A140" s="90" t="s">
        <v>117</v>
      </c>
      <c r="B140" s="90"/>
      <c r="C140" s="90"/>
      <c r="D140" s="90"/>
      <c r="E140" s="90"/>
      <c r="F140" s="90"/>
    </row>
    <row r="141" spans="1:7" x14ac:dyDescent="0.2">
      <c r="B141" s="2">
        <v>2020</v>
      </c>
      <c r="C141" s="2">
        <v>2021</v>
      </c>
      <c r="D141" s="2">
        <v>2022</v>
      </c>
      <c r="E141" s="2">
        <v>2023</v>
      </c>
      <c r="F141" s="2">
        <v>2024</v>
      </c>
    </row>
    <row r="142" spans="1:7" x14ac:dyDescent="0.2">
      <c r="A142" s="3" t="s">
        <v>118</v>
      </c>
      <c r="B142" s="8">
        <v>1027292</v>
      </c>
      <c r="C142" s="8">
        <v>3468525</v>
      </c>
      <c r="D142" s="8">
        <v>1020107</v>
      </c>
      <c r="E142" s="8">
        <v>742509</v>
      </c>
      <c r="F142" s="8">
        <v>742509</v>
      </c>
    </row>
    <row r="143" spans="1:7" x14ac:dyDescent="0.2">
      <c r="A143" s="3" t="s">
        <v>119</v>
      </c>
      <c r="B143" s="8">
        <v>2103154</v>
      </c>
      <c r="C143" s="8">
        <v>1243927</v>
      </c>
      <c r="D143" s="8">
        <v>1054749</v>
      </c>
      <c r="E143" s="8">
        <v>493492</v>
      </c>
      <c r="F143" s="8">
        <v>341035</v>
      </c>
    </row>
    <row r="144" spans="1:7" x14ac:dyDescent="0.2">
      <c r="A144" s="3" t="s">
        <v>164</v>
      </c>
      <c r="B144" s="12">
        <v>0</v>
      </c>
      <c r="C144" s="12">
        <v>0</v>
      </c>
      <c r="D144" s="12">
        <v>1168076</v>
      </c>
      <c r="E144" s="12">
        <v>0</v>
      </c>
      <c r="F144" s="12">
        <v>0</v>
      </c>
    </row>
    <row r="145" spans="1:6" x14ac:dyDescent="0.2">
      <c r="A145" s="2" t="s">
        <v>61</v>
      </c>
      <c r="B145" s="9">
        <f>SUM(B142:B143)</f>
        <v>3130446</v>
      </c>
      <c r="C145" s="9">
        <f>SUM(C142:C143)</f>
        <v>4712452</v>
      </c>
      <c r="D145" s="9">
        <f t="shared" ref="D145:F145" si="11">SUM(D142:D143)</f>
        <v>2074856</v>
      </c>
      <c r="E145" s="9">
        <f t="shared" si="11"/>
        <v>1236001</v>
      </c>
      <c r="F145" s="9">
        <f t="shared" si="11"/>
        <v>1083544</v>
      </c>
    </row>
    <row r="146" spans="1:6" x14ac:dyDescent="0.2">
      <c r="B146" s="8"/>
      <c r="C146" s="8"/>
      <c r="D146" s="8"/>
      <c r="E146" s="8"/>
      <c r="F146" s="8"/>
    </row>
    <row r="147" spans="1:6" x14ac:dyDescent="0.2">
      <c r="A147" s="90" t="s">
        <v>120</v>
      </c>
      <c r="B147" s="90"/>
      <c r="C147" s="90"/>
      <c r="D147" s="90"/>
      <c r="E147" s="90"/>
      <c r="F147" s="90"/>
    </row>
    <row r="148" spans="1:6" x14ac:dyDescent="0.2">
      <c r="B148" s="22">
        <v>2020</v>
      </c>
      <c r="C148" s="22">
        <v>2021</v>
      </c>
      <c r="D148" s="22">
        <v>2022</v>
      </c>
      <c r="E148" s="22">
        <v>2023</v>
      </c>
      <c r="F148" s="22">
        <v>2024</v>
      </c>
    </row>
    <row r="149" spans="1:6" x14ac:dyDescent="0.2">
      <c r="A149" s="3" t="s">
        <v>83</v>
      </c>
      <c r="B149" s="8"/>
      <c r="C149" s="8"/>
      <c r="D149" s="8"/>
      <c r="E149" s="8"/>
      <c r="F149" s="8"/>
    </row>
    <row r="150" spans="1:6" x14ac:dyDescent="0.2">
      <c r="A150" s="2" t="s">
        <v>121</v>
      </c>
      <c r="B150" s="8"/>
      <c r="C150" s="8"/>
      <c r="D150" s="8"/>
      <c r="E150" s="8"/>
      <c r="F150" s="8"/>
    </row>
    <row r="151" spans="1:6" x14ac:dyDescent="0.2">
      <c r="A151" s="3" t="s">
        <v>122</v>
      </c>
      <c r="B151" s="8">
        <v>38023147</v>
      </c>
      <c r="C151" s="8">
        <v>0</v>
      </c>
      <c r="D151" s="8">
        <v>0</v>
      </c>
      <c r="E151" s="8">
        <v>0</v>
      </c>
      <c r="F151" s="8">
        <v>0</v>
      </c>
    </row>
    <row r="152" spans="1:6" x14ac:dyDescent="0.2">
      <c r="A152" s="3" t="s">
        <v>123</v>
      </c>
      <c r="B152" s="8">
        <v>1334480</v>
      </c>
      <c r="C152" s="8">
        <v>1917327</v>
      </c>
      <c r="D152" s="8">
        <v>1907234</v>
      </c>
      <c r="E152" s="8">
        <v>1841931</v>
      </c>
      <c r="F152" s="8">
        <v>2493692</v>
      </c>
    </row>
    <row r="153" spans="1:6" x14ac:dyDescent="0.2">
      <c r="A153" s="3" t="s">
        <v>124</v>
      </c>
      <c r="B153" s="8">
        <v>78708</v>
      </c>
      <c r="C153" s="8">
        <v>0</v>
      </c>
      <c r="D153" s="8">
        <v>0</v>
      </c>
      <c r="E153" s="8">
        <v>0</v>
      </c>
      <c r="F153" s="8">
        <v>0</v>
      </c>
    </row>
    <row r="154" spans="1:6" x14ac:dyDescent="0.2">
      <c r="A154" s="3" t="s">
        <v>125</v>
      </c>
      <c r="B154" s="8">
        <v>416803</v>
      </c>
      <c r="C154" s="8">
        <v>983774</v>
      </c>
      <c r="D154" s="8">
        <v>0</v>
      </c>
      <c r="E154" s="8">
        <v>0</v>
      </c>
      <c r="F154" s="8">
        <v>0</v>
      </c>
    </row>
    <row r="155" spans="1:6" x14ac:dyDescent="0.2">
      <c r="A155" s="3" t="s">
        <v>165</v>
      </c>
      <c r="B155" s="8">
        <v>0</v>
      </c>
      <c r="C155" s="8">
        <v>0</v>
      </c>
      <c r="D155" s="8">
        <v>265135</v>
      </c>
      <c r="E155" s="8">
        <v>1537866</v>
      </c>
      <c r="F155" s="8">
        <v>3552832</v>
      </c>
    </row>
    <row r="156" spans="1:6" x14ac:dyDescent="0.2">
      <c r="A156" s="3" t="s">
        <v>126</v>
      </c>
      <c r="B156" s="8">
        <v>207933</v>
      </c>
      <c r="C156" s="8">
        <v>535456</v>
      </c>
      <c r="D156" s="8">
        <v>183524</v>
      </c>
      <c r="E156" s="8">
        <v>628315</v>
      </c>
      <c r="F156" s="8">
        <v>349362</v>
      </c>
    </row>
    <row r="157" spans="1:6" x14ac:dyDescent="0.2">
      <c r="A157" s="3" t="s">
        <v>127</v>
      </c>
      <c r="B157" s="8">
        <v>759984</v>
      </c>
      <c r="C157" s="8">
        <v>1625402</v>
      </c>
      <c r="D157" s="8">
        <v>1703041</v>
      </c>
      <c r="E157" s="8">
        <v>2187289</v>
      </c>
      <c r="F157" s="8">
        <v>1354358</v>
      </c>
    </row>
    <row r="158" spans="1:6" x14ac:dyDescent="0.2">
      <c r="A158" s="3" t="s">
        <v>166</v>
      </c>
      <c r="B158" s="8">
        <v>0</v>
      </c>
      <c r="C158" s="8">
        <v>0</v>
      </c>
      <c r="D158" s="8">
        <v>0</v>
      </c>
      <c r="E158" s="8">
        <v>1401354</v>
      </c>
      <c r="F158" s="8">
        <v>0</v>
      </c>
    </row>
    <row r="159" spans="1:6" x14ac:dyDescent="0.2">
      <c r="A159" s="3" t="s">
        <v>167</v>
      </c>
      <c r="B159" s="8">
        <v>0</v>
      </c>
      <c r="C159" s="8">
        <v>0</v>
      </c>
      <c r="D159" s="8">
        <v>1034851</v>
      </c>
      <c r="E159" s="8">
        <v>1375079</v>
      </c>
      <c r="F159" s="8">
        <v>0</v>
      </c>
    </row>
    <row r="160" spans="1:6" x14ac:dyDescent="0.2">
      <c r="A160" s="3" t="s">
        <v>168</v>
      </c>
      <c r="B160" s="8">
        <v>0</v>
      </c>
      <c r="C160" s="8">
        <v>0</v>
      </c>
      <c r="D160" s="8">
        <v>387956</v>
      </c>
      <c r="E160" s="8">
        <v>1061051</v>
      </c>
      <c r="F160" s="8">
        <v>556972</v>
      </c>
    </row>
    <row r="161" spans="1:6" x14ac:dyDescent="0.2">
      <c r="A161" s="3" t="s">
        <v>169</v>
      </c>
      <c r="B161" s="8">
        <v>0</v>
      </c>
      <c r="C161" s="8">
        <v>0</v>
      </c>
      <c r="D161" s="8">
        <v>348203</v>
      </c>
      <c r="E161" s="8">
        <v>714845</v>
      </c>
      <c r="F161" s="8">
        <v>354462</v>
      </c>
    </row>
    <row r="162" spans="1:6" x14ac:dyDescent="0.2">
      <c r="A162" s="3" t="s">
        <v>170</v>
      </c>
      <c r="B162" s="8">
        <v>0</v>
      </c>
      <c r="C162" s="8">
        <v>0</v>
      </c>
      <c r="D162" s="8">
        <v>926496</v>
      </c>
      <c r="E162" s="8">
        <v>669803</v>
      </c>
      <c r="F162" s="8">
        <v>53188</v>
      </c>
    </row>
    <row r="163" spans="1:6" x14ac:dyDescent="0.2">
      <c r="A163" s="3" t="s">
        <v>171</v>
      </c>
      <c r="B163" s="8">
        <v>0</v>
      </c>
      <c r="C163" s="8">
        <v>0</v>
      </c>
      <c r="D163" s="8">
        <v>0</v>
      </c>
      <c r="E163" s="8">
        <v>517895</v>
      </c>
      <c r="F163" s="8">
        <v>542024</v>
      </c>
    </row>
    <row r="164" spans="1:6" x14ac:dyDescent="0.2">
      <c r="A164" s="3" t="s">
        <v>128</v>
      </c>
      <c r="B164" s="8">
        <v>5851447</v>
      </c>
      <c r="C164" s="8">
        <v>5755585</v>
      </c>
      <c r="D164" s="8">
        <v>0</v>
      </c>
      <c r="E164" s="8">
        <v>0</v>
      </c>
      <c r="F164" s="8">
        <v>0</v>
      </c>
    </row>
    <row r="165" spans="1:6" x14ac:dyDescent="0.2">
      <c r="A165" s="3" t="s">
        <v>129</v>
      </c>
      <c r="B165" s="8">
        <v>2268227</v>
      </c>
      <c r="C165" s="8">
        <v>1196600</v>
      </c>
      <c r="D165" s="8">
        <v>0</v>
      </c>
      <c r="E165" s="8">
        <v>0</v>
      </c>
      <c r="F165" s="8">
        <v>0</v>
      </c>
    </row>
    <row r="166" spans="1:6" x14ac:dyDescent="0.2">
      <c r="A166" s="3" t="s">
        <v>130</v>
      </c>
      <c r="B166" s="8">
        <v>1128960</v>
      </c>
      <c r="C166" s="8">
        <v>533400</v>
      </c>
      <c r="D166" s="8">
        <v>0</v>
      </c>
      <c r="E166" s="8">
        <v>0</v>
      </c>
      <c r="F166" s="8">
        <v>0</v>
      </c>
    </row>
    <row r="167" spans="1:6" x14ac:dyDescent="0.2">
      <c r="A167" s="3" t="s">
        <v>131</v>
      </c>
      <c r="B167" s="8">
        <v>11831573</v>
      </c>
      <c r="C167" s="8">
        <v>25945138</v>
      </c>
      <c r="D167" s="8">
        <v>11891464</v>
      </c>
      <c r="E167" s="8">
        <v>14194008</v>
      </c>
      <c r="F167" s="8">
        <v>27166557</v>
      </c>
    </row>
    <row r="168" spans="1:6" x14ac:dyDescent="0.2">
      <c r="A168" s="2" t="s">
        <v>132</v>
      </c>
      <c r="B168" s="8"/>
      <c r="C168" s="8"/>
      <c r="D168" s="8"/>
      <c r="E168" s="8"/>
      <c r="F168" s="8"/>
    </row>
    <row r="169" spans="1:6" x14ac:dyDescent="0.2">
      <c r="A169" s="3" t="s">
        <v>133</v>
      </c>
      <c r="B169" s="8">
        <v>10028153</v>
      </c>
      <c r="C169" s="8">
        <v>3839907</v>
      </c>
      <c r="D169" s="8">
        <v>7641840</v>
      </c>
      <c r="E169" s="8">
        <v>3817001</v>
      </c>
      <c r="F169" s="8">
        <v>11617113</v>
      </c>
    </row>
    <row r="170" spans="1:6" x14ac:dyDescent="0.2">
      <c r="A170" s="3" t="s">
        <v>134</v>
      </c>
      <c r="B170" s="8">
        <v>2151378</v>
      </c>
      <c r="C170" s="8">
        <v>3439825</v>
      </c>
      <c r="D170" s="8">
        <v>3956765</v>
      </c>
      <c r="E170" s="8">
        <v>2675310</v>
      </c>
      <c r="F170" s="8">
        <v>299671</v>
      </c>
    </row>
    <row r="171" spans="1:6" x14ac:dyDescent="0.2">
      <c r="A171" s="3" t="s">
        <v>135</v>
      </c>
      <c r="B171" s="8">
        <v>1260804</v>
      </c>
      <c r="C171" s="8">
        <v>386280</v>
      </c>
      <c r="D171" s="8">
        <v>1098288</v>
      </c>
      <c r="E171" s="8">
        <v>1658568</v>
      </c>
      <c r="F171" s="8">
        <v>1189186</v>
      </c>
    </row>
    <row r="172" spans="1:6" x14ac:dyDescent="0.2">
      <c r="A172" s="3" t="s">
        <v>136</v>
      </c>
      <c r="B172" s="8">
        <v>703143</v>
      </c>
      <c r="C172" s="8">
        <v>0</v>
      </c>
      <c r="D172" s="8">
        <v>0</v>
      </c>
      <c r="E172" s="8">
        <v>0</v>
      </c>
      <c r="F172" s="8">
        <v>0</v>
      </c>
    </row>
    <row r="173" spans="1:6" x14ac:dyDescent="0.2">
      <c r="A173" s="3" t="s">
        <v>137</v>
      </c>
      <c r="B173" s="8">
        <v>9345439</v>
      </c>
      <c r="C173" s="8">
        <v>7030376</v>
      </c>
      <c r="D173" s="8">
        <v>6342477</v>
      </c>
      <c r="E173" s="8">
        <v>10462122</v>
      </c>
      <c r="F173" s="8">
        <v>9296006</v>
      </c>
    </row>
    <row r="174" spans="1:6" x14ac:dyDescent="0.2">
      <c r="A174" s="3" t="s">
        <v>138</v>
      </c>
      <c r="B174" s="8">
        <v>104196</v>
      </c>
      <c r="C174" s="8">
        <v>634078</v>
      </c>
      <c r="D174" s="8">
        <v>2811499</v>
      </c>
      <c r="E174" s="8">
        <v>4222978</v>
      </c>
      <c r="F174" s="8">
        <v>4295981</v>
      </c>
    </row>
    <row r="175" spans="1:6" x14ac:dyDescent="0.2">
      <c r="A175" s="3" t="s">
        <v>139</v>
      </c>
      <c r="B175" s="8">
        <v>2248377</v>
      </c>
      <c r="C175" s="8">
        <v>275616</v>
      </c>
      <c r="D175" s="8">
        <v>1629120</v>
      </c>
      <c r="E175" s="8">
        <v>289933</v>
      </c>
      <c r="F175" s="8">
        <v>335869</v>
      </c>
    </row>
    <row r="176" spans="1:6" x14ac:dyDescent="0.2">
      <c r="A176" s="3" t="s">
        <v>128</v>
      </c>
      <c r="B176" s="8">
        <v>0</v>
      </c>
      <c r="C176" s="8">
        <v>0</v>
      </c>
      <c r="D176" s="8">
        <v>3801915</v>
      </c>
      <c r="E176" s="8">
        <v>5778712</v>
      </c>
      <c r="F176" s="8">
        <v>1560063</v>
      </c>
    </row>
    <row r="177" spans="1:6" x14ac:dyDescent="0.2">
      <c r="A177" s="3" t="s">
        <v>172</v>
      </c>
      <c r="B177" s="8">
        <v>0</v>
      </c>
      <c r="C177" s="8">
        <v>0</v>
      </c>
      <c r="D177" s="8">
        <v>0</v>
      </c>
      <c r="E177" s="8">
        <v>5211402</v>
      </c>
      <c r="F177" s="8">
        <v>442317</v>
      </c>
    </row>
    <row r="178" spans="1:6" x14ac:dyDescent="0.2">
      <c r="A178" s="3" t="s">
        <v>173</v>
      </c>
      <c r="B178" s="8">
        <v>0</v>
      </c>
      <c r="C178" s="8">
        <v>0</v>
      </c>
      <c r="D178" s="8">
        <v>0</v>
      </c>
      <c r="E178" s="8">
        <v>1815939</v>
      </c>
      <c r="F178" s="8">
        <v>542888</v>
      </c>
    </row>
    <row r="179" spans="1:6" x14ac:dyDescent="0.2">
      <c r="A179" s="3" t="s">
        <v>174</v>
      </c>
      <c r="B179" s="8">
        <v>0</v>
      </c>
      <c r="C179" s="8">
        <v>0</v>
      </c>
      <c r="D179" s="8">
        <v>1203923</v>
      </c>
      <c r="E179" s="8">
        <v>1136352</v>
      </c>
      <c r="F179" s="8">
        <v>1483598</v>
      </c>
    </row>
    <row r="180" spans="1:6" x14ac:dyDescent="0.2">
      <c r="A180" s="3" t="s">
        <v>140</v>
      </c>
      <c r="B180" s="8">
        <v>5192733</v>
      </c>
      <c r="C180" s="8">
        <v>0</v>
      </c>
      <c r="D180" s="8">
        <v>0</v>
      </c>
      <c r="E180" s="8">
        <v>0</v>
      </c>
      <c r="F180" s="8"/>
    </row>
    <row r="181" spans="1:6" x14ac:dyDescent="0.2">
      <c r="A181" s="3" t="s">
        <v>141</v>
      </c>
      <c r="B181" s="8">
        <v>0</v>
      </c>
      <c r="C181" s="8">
        <v>0</v>
      </c>
      <c r="D181" s="8">
        <v>0</v>
      </c>
      <c r="E181" s="8">
        <v>0</v>
      </c>
      <c r="F181" s="8"/>
    </row>
    <row r="182" spans="1:6" x14ac:dyDescent="0.2">
      <c r="A182" s="3" t="s">
        <v>142</v>
      </c>
      <c r="B182" s="12">
        <v>7088821</v>
      </c>
      <c r="C182" s="12">
        <v>5774656</v>
      </c>
      <c r="D182" s="12">
        <v>5657890</v>
      </c>
      <c r="E182" s="12">
        <v>11595400</v>
      </c>
      <c r="F182" s="12">
        <v>25010184</v>
      </c>
    </row>
    <row r="183" spans="1:6" x14ac:dyDescent="0.2">
      <c r="A183" s="2" t="s">
        <v>61</v>
      </c>
      <c r="B183" s="9">
        <f>SUM(B151:B182)</f>
        <v>100024306</v>
      </c>
      <c r="C183" s="9">
        <f>SUM(C149:C182)</f>
        <v>59873420</v>
      </c>
      <c r="D183" s="9">
        <f>SUM(D149:D182)</f>
        <v>52791621</v>
      </c>
      <c r="E183" s="9">
        <f>SUM(E149:E182)</f>
        <v>74793153</v>
      </c>
      <c r="F183" s="9">
        <f>SUM(F149:F182)</f>
        <v>92496323</v>
      </c>
    </row>
    <row r="184" spans="1:6" x14ac:dyDescent="0.2">
      <c r="B184" s="8"/>
      <c r="C184" s="8"/>
      <c r="D184" s="8"/>
      <c r="E184" s="8"/>
      <c r="F184" s="8"/>
    </row>
    <row r="185" spans="1:6" x14ac:dyDescent="0.2">
      <c r="A185" s="90" t="s">
        <v>143</v>
      </c>
      <c r="B185" s="90"/>
      <c r="C185" s="90"/>
      <c r="D185" s="90"/>
      <c r="E185" s="90"/>
      <c r="F185" s="90"/>
    </row>
    <row r="186" spans="1:6" x14ac:dyDescent="0.2">
      <c r="B186" s="22">
        <v>2020</v>
      </c>
      <c r="C186" s="22">
        <v>2021</v>
      </c>
      <c r="D186" s="22">
        <v>2022</v>
      </c>
      <c r="E186" s="22">
        <v>2023</v>
      </c>
      <c r="F186" s="22">
        <v>2024</v>
      </c>
    </row>
    <row r="187" spans="1:6" x14ac:dyDescent="0.2">
      <c r="A187" s="36" t="s">
        <v>85</v>
      </c>
      <c r="B187" s="8"/>
      <c r="C187" s="8"/>
      <c r="D187" s="8"/>
      <c r="E187" s="8"/>
      <c r="F187" s="8"/>
    </row>
    <row r="188" spans="1:6" x14ac:dyDescent="0.2">
      <c r="A188" s="3" t="s">
        <v>144</v>
      </c>
      <c r="B188" s="8">
        <v>2277191</v>
      </c>
      <c r="C188" s="8">
        <v>4961894</v>
      </c>
      <c r="D188" s="8">
        <v>7060768</v>
      </c>
      <c r="E188" s="8">
        <v>7060768</v>
      </c>
      <c r="F188" s="8">
        <v>7060768</v>
      </c>
    </row>
    <row r="189" spans="1:6" x14ac:dyDescent="0.2">
      <c r="A189" s="3" t="s">
        <v>145</v>
      </c>
      <c r="B189" s="8">
        <v>0</v>
      </c>
      <c r="C189" s="8">
        <v>6020821</v>
      </c>
      <c r="D189" s="8">
        <v>0</v>
      </c>
      <c r="E189" s="8">
        <v>9000000</v>
      </c>
      <c r="F189" s="8">
        <v>9000000</v>
      </c>
    </row>
    <row r="190" spans="1:6" x14ac:dyDescent="0.2">
      <c r="A190" s="32" t="s">
        <v>195</v>
      </c>
      <c r="B190" s="8">
        <v>0</v>
      </c>
      <c r="C190" s="8">
        <v>0</v>
      </c>
      <c r="D190" s="8">
        <v>0</v>
      </c>
      <c r="E190" s="8">
        <v>0</v>
      </c>
      <c r="F190" s="8">
        <v>6860000</v>
      </c>
    </row>
    <row r="191" spans="1:6" x14ac:dyDescent="0.2">
      <c r="A191" s="32" t="s">
        <v>196</v>
      </c>
      <c r="B191" s="8">
        <v>0</v>
      </c>
      <c r="C191" s="8">
        <v>0</v>
      </c>
      <c r="D191" s="8">
        <v>0</v>
      </c>
      <c r="E191" s="8">
        <v>0</v>
      </c>
      <c r="F191" s="8">
        <v>13720000</v>
      </c>
    </row>
    <row r="192" spans="1:6" x14ac:dyDescent="0.2">
      <c r="A192" s="3" t="s">
        <v>146</v>
      </c>
      <c r="B192" s="12">
        <v>162895</v>
      </c>
      <c r="C192" s="12">
        <v>322963</v>
      </c>
      <c r="D192" s="12">
        <v>389048</v>
      </c>
      <c r="E192" s="12">
        <v>431488</v>
      </c>
      <c r="F192" s="12">
        <v>554450</v>
      </c>
    </row>
    <row r="193" spans="1:6" x14ac:dyDescent="0.2">
      <c r="A193" s="2" t="s">
        <v>96</v>
      </c>
      <c r="B193" s="9">
        <f>SUM(B188:B192)</f>
        <v>2440086</v>
      </c>
      <c r="C193" s="9">
        <f t="shared" ref="C193:F193" si="12">SUM(C188:C192)</f>
        <v>11305678</v>
      </c>
      <c r="D193" s="9">
        <f t="shared" si="12"/>
        <v>7449816</v>
      </c>
      <c r="E193" s="9">
        <f t="shared" si="12"/>
        <v>16492256</v>
      </c>
      <c r="F193" s="9">
        <f t="shared" si="12"/>
        <v>37195218</v>
      </c>
    </row>
    <row r="194" spans="1:6" x14ac:dyDescent="0.2">
      <c r="A194" s="36" t="s">
        <v>147</v>
      </c>
      <c r="B194" s="8"/>
      <c r="C194" s="8"/>
      <c r="D194" s="8"/>
      <c r="E194" s="8"/>
      <c r="F194" s="8"/>
    </row>
    <row r="195" spans="1:6" x14ac:dyDescent="0.2">
      <c r="A195" s="3" t="s">
        <v>144</v>
      </c>
      <c r="B195" s="8">
        <v>18786827</v>
      </c>
      <c r="C195" s="8">
        <v>35973732</v>
      </c>
      <c r="D195" s="8">
        <v>44129798</v>
      </c>
      <c r="E195" s="8">
        <v>37069031</v>
      </c>
      <c r="F195" s="8">
        <v>30008263</v>
      </c>
    </row>
    <row r="196" spans="1:6" x14ac:dyDescent="0.2">
      <c r="A196" s="32" t="s">
        <v>195</v>
      </c>
      <c r="B196" s="8">
        <v>0</v>
      </c>
      <c r="C196" s="8">
        <v>0</v>
      </c>
      <c r="D196" s="8">
        <v>0</v>
      </c>
      <c r="E196" s="8">
        <v>0</v>
      </c>
      <c r="F196" s="8">
        <v>67500000</v>
      </c>
    </row>
    <row r="197" spans="1:6" x14ac:dyDescent="0.2">
      <c r="A197" s="3" t="s">
        <v>175</v>
      </c>
      <c r="B197" s="12">
        <v>0</v>
      </c>
      <c r="C197" s="12">
        <v>0</v>
      </c>
      <c r="D197" s="12">
        <v>0</v>
      </c>
      <c r="E197" s="12">
        <v>76500000</v>
      </c>
      <c r="F197" s="12">
        <v>27440000</v>
      </c>
    </row>
    <row r="198" spans="1:6" x14ac:dyDescent="0.2">
      <c r="A198" s="3" t="s">
        <v>96</v>
      </c>
      <c r="B198" s="12">
        <f>B195</f>
        <v>18786827</v>
      </c>
      <c r="C198" s="12">
        <f>C195</f>
        <v>35973732</v>
      </c>
      <c r="D198" s="12">
        <f>D195</f>
        <v>44129798</v>
      </c>
      <c r="E198" s="12">
        <f>SUM(E195:E197)</f>
        <v>113569031</v>
      </c>
      <c r="F198" s="12">
        <f>SUM(F195:F197)</f>
        <v>124948263</v>
      </c>
    </row>
    <row r="199" spans="1:6" x14ac:dyDescent="0.2">
      <c r="A199" s="2" t="s">
        <v>61</v>
      </c>
      <c r="B199" s="9">
        <f>B193+B198</f>
        <v>21226913</v>
      </c>
      <c r="C199" s="9">
        <f>C193+C198</f>
        <v>47279410</v>
      </c>
      <c r="D199" s="9">
        <f>D193+D198</f>
        <v>51579614</v>
      </c>
      <c r="E199" s="9">
        <f>E193+E198</f>
        <v>130061287</v>
      </c>
      <c r="F199" s="9">
        <f>F193+F198</f>
        <v>162143481</v>
      </c>
    </row>
    <row r="200" spans="1:6" x14ac:dyDescent="0.2">
      <c r="B200" s="8"/>
      <c r="C200" s="8"/>
      <c r="D200" s="8"/>
      <c r="E200" s="8"/>
      <c r="F200" s="8"/>
    </row>
    <row r="201" spans="1:6" x14ac:dyDescent="0.2">
      <c r="A201" s="90" t="s">
        <v>148</v>
      </c>
      <c r="B201" s="90"/>
      <c r="C201" s="90"/>
      <c r="D201" s="90"/>
      <c r="E201" s="90"/>
      <c r="F201" s="90"/>
    </row>
    <row r="202" spans="1:6" x14ac:dyDescent="0.2">
      <c r="B202" s="22">
        <v>2020</v>
      </c>
      <c r="C202" s="22">
        <v>2021</v>
      </c>
      <c r="D202" s="22">
        <v>2022</v>
      </c>
      <c r="E202" s="22">
        <v>2023</v>
      </c>
      <c r="F202" s="22">
        <v>2024</v>
      </c>
    </row>
    <row r="203" spans="1:6" x14ac:dyDescent="0.2">
      <c r="A203" s="36" t="s">
        <v>85</v>
      </c>
      <c r="B203" s="8"/>
      <c r="C203" s="8"/>
      <c r="D203" s="8"/>
      <c r="E203" s="8"/>
      <c r="F203" s="8"/>
    </row>
    <row r="204" spans="1:6" x14ac:dyDescent="0.2">
      <c r="A204" s="3" t="s">
        <v>149</v>
      </c>
      <c r="B204" s="8">
        <v>7087600</v>
      </c>
      <c r="C204" s="8">
        <v>7088064</v>
      </c>
      <c r="D204" s="8">
        <v>12186960</v>
      </c>
      <c r="E204" s="8">
        <v>11793024</v>
      </c>
      <c r="F204" s="8">
        <v>11447808</v>
      </c>
    </row>
    <row r="205" spans="1:6" x14ac:dyDescent="0.2">
      <c r="A205" s="3" t="s">
        <v>150</v>
      </c>
      <c r="B205" s="8">
        <v>1740000</v>
      </c>
      <c r="C205" s="8">
        <v>1740000</v>
      </c>
      <c r="D205" s="8">
        <v>1740000</v>
      </c>
      <c r="E205" s="8">
        <v>1305000</v>
      </c>
      <c r="F205" s="8">
        <v>3045000</v>
      </c>
    </row>
    <row r="206" spans="1:6" x14ac:dyDescent="0.2">
      <c r="A206" s="3" t="s">
        <v>151</v>
      </c>
      <c r="B206" s="12">
        <v>1291505</v>
      </c>
      <c r="C206" s="12">
        <v>1258074</v>
      </c>
      <c r="D206" s="12">
        <v>1212094</v>
      </c>
      <c r="E206" s="12">
        <v>1049086</v>
      </c>
      <c r="F206" s="12">
        <v>886846</v>
      </c>
    </row>
    <row r="207" spans="1:6" x14ac:dyDescent="0.2">
      <c r="A207" s="2" t="s">
        <v>96</v>
      </c>
      <c r="B207" s="9">
        <f>SUM(B204:B206)</f>
        <v>10119105</v>
      </c>
      <c r="C207" s="9">
        <f t="shared" ref="C207:F207" si="13">SUM(C204:C206)</f>
        <v>10086138</v>
      </c>
      <c r="D207" s="9">
        <f t="shared" si="13"/>
        <v>15139054</v>
      </c>
      <c r="E207" s="9">
        <f t="shared" si="13"/>
        <v>14147110</v>
      </c>
      <c r="F207" s="9">
        <f t="shared" si="13"/>
        <v>15379654</v>
      </c>
    </row>
    <row r="208" spans="1:6" x14ac:dyDescent="0.2">
      <c r="A208" s="36" t="s">
        <v>147</v>
      </c>
      <c r="B208" s="8"/>
      <c r="C208" s="8"/>
      <c r="D208" s="8"/>
      <c r="E208" s="8"/>
      <c r="F208" s="8"/>
    </row>
    <row r="209" spans="1:6" x14ac:dyDescent="0.2">
      <c r="A209" s="3" t="s">
        <v>149</v>
      </c>
      <c r="B209" s="8">
        <v>53652320</v>
      </c>
      <c r="C209" s="8">
        <v>46565184</v>
      </c>
      <c r="D209" s="8">
        <v>34376832</v>
      </c>
      <c r="E209" s="8">
        <v>22583808</v>
      </c>
      <c r="F209" s="8">
        <v>11136000</v>
      </c>
    </row>
    <row r="210" spans="1:6" x14ac:dyDescent="0.2">
      <c r="A210" s="3" t="s">
        <v>150</v>
      </c>
      <c r="B210" s="12">
        <v>62205000</v>
      </c>
      <c r="C210" s="12">
        <v>60465000</v>
      </c>
      <c r="D210" s="12">
        <v>58725000</v>
      </c>
      <c r="E210" s="12">
        <v>57420000</v>
      </c>
      <c r="F210" s="12">
        <v>53940000</v>
      </c>
    </row>
    <row r="211" spans="1:6" x14ac:dyDescent="0.2">
      <c r="A211" s="36" t="s">
        <v>152</v>
      </c>
      <c r="B211" s="34">
        <f>SUM(B209:B210)</f>
        <v>115857320</v>
      </c>
      <c r="C211" s="34">
        <f t="shared" ref="C211:F211" si="14">SUM(C209:C210)</f>
        <v>107030184</v>
      </c>
      <c r="D211" s="34">
        <f t="shared" si="14"/>
        <v>93101832</v>
      </c>
      <c r="E211" s="34">
        <f t="shared" si="14"/>
        <v>80003808</v>
      </c>
      <c r="F211" s="34">
        <f t="shared" si="14"/>
        <v>65076000</v>
      </c>
    </row>
    <row r="212" spans="1:6" x14ac:dyDescent="0.2">
      <c r="A212" s="2" t="s">
        <v>61</v>
      </c>
      <c r="B212" s="9">
        <f>SUM(B207+B211)</f>
        <v>125976425</v>
      </c>
      <c r="C212" s="9">
        <f t="shared" ref="C212:F212" si="15">SUM(C207+C211)</f>
        <v>117116322</v>
      </c>
      <c r="D212" s="9">
        <f t="shared" si="15"/>
        <v>108240886</v>
      </c>
      <c r="E212" s="9">
        <f t="shared" si="15"/>
        <v>94150918</v>
      </c>
      <c r="F212" s="9">
        <f t="shared" si="15"/>
        <v>80455654</v>
      </c>
    </row>
    <row r="213" spans="1:6" x14ac:dyDescent="0.2">
      <c r="B213" s="8"/>
      <c r="C213" s="8"/>
      <c r="D213" s="8"/>
      <c r="E213" s="8"/>
      <c r="F213" s="8"/>
    </row>
    <row r="214" spans="1:6" x14ac:dyDescent="0.2">
      <c r="A214" s="90" t="s">
        <v>153</v>
      </c>
      <c r="B214" s="90"/>
      <c r="C214" s="90"/>
      <c r="D214" s="90"/>
      <c r="E214" s="90"/>
      <c r="F214" s="90"/>
    </row>
    <row r="215" spans="1:6" x14ac:dyDescent="0.2">
      <c r="B215" s="22">
        <v>2020</v>
      </c>
      <c r="C215" s="22">
        <v>2021</v>
      </c>
      <c r="D215" s="22">
        <v>2022</v>
      </c>
      <c r="E215" s="22">
        <v>2023</v>
      </c>
      <c r="F215" s="22">
        <v>2024</v>
      </c>
    </row>
    <row r="216" spans="1:6" x14ac:dyDescent="0.2">
      <c r="A216" s="3" t="s">
        <v>154</v>
      </c>
      <c r="B216" s="8">
        <v>1782461</v>
      </c>
      <c r="C216" s="8">
        <v>4810548</v>
      </c>
      <c r="D216" s="8">
        <v>2900384</v>
      </c>
      <c r="E216" s="8">
        <v>3332041</v>
      </c>
      <c r="F216" s="8">
        <v>3239454</v>
      </c>
    </row>
    <row r="217" spans="1:6" x14ac:dyDescent="0.2">
      <c r="A217" s="3" t="s">
        <v>155</v>
      </c>
      <c r="B217" s="8">
        <v>12057130</v>
      </c>
      <c r="C217" s="8">
        <v>13197371</v>
      </c>
      <c r="D217" s="8">
        <v>25364946</v>
      </c>
      <c r="E217" s="8">
        <v>13368104</v>
      </c>
      <c r="F217" s="8">
        <v>13706273</v>
      </c>
    </row>
    <row r="218" spans="1:6" x14ac:dyDescent="0.2">
      <c r="A218" s="3" t="s">
        <v>156</v>
      </c>
      <c r="B218" s="12">
        <v>30350252</v>
      </c>
      <c r="C218" s="12">
        <v>34406160</v>
      </c>
      <c r="D218" s="12">
        <v>35152503</v>
      </c>
      <c r="E218" s="12">
        <v>24043465</v>
      </c>
      <c r="F218" s="12">
        <v>20118434</v>
      </c>
    </row>
    <row r="219" spans="1:6" x14ac:dyDescent="0.2">
      <c r="A219" s="2" t="s">
        <v>61</v>
      </c>
      <c r="B219" s="9">
        <f>SUM(B216:B218)</f>
        <v>44189843</v>
      </c>
      <c r="C219" s="9">
        <f t="shared" ref="C219:F219" si="16">SUM(C216:C218)</f>
        <v>52414079</v>
      </c>
      <c r="D219" s="9">
        <f t="shared" si="16"/>
        <v>63417833</v>
      </c>
      <c r="E219" s="9">
        <f t="shared" si="16"/>
        <v>40743610</v>
      </c>
      <c r="F219" s="9">
        <f t="shared" si="16"/>
        <v>37064161</v>
      </c>
    </row>
    <row r="220" spans="1:6" x14ac:dyDescent="0.2">
      <c r="B220" s="8"/>
      <c r="C220" s="8"/>
      <c r="D220" s="8"/>
      <c r="E220" s="8"/>
      <c r="F220" s="8"/>
    </row>
    <row r="221" spans="1:6" x14ac:dyDescent="0.2">
      <c r="B221" s="8"/>
      <c r="C221" s="8"/>
      <c r="D221" s="8"/>
      <c r="E221" s="8"/>
      <c r="F221" s="8"/>
    </row>
    <row r="222" spans="1:6" x14ac:dyDescent="0.2">
      <c r="B222" s="8"/>
      <c r="C222" s="8"/>
      <c r="D222" s="8"/>
      <c r="E222" s="8"/>
      <c r="F222" s="8"/>
    </row>
    <row r="223" spans="1:6" x14ac:dyDescent="0.2">
      <c r="A223" s="18" t="s">
        <v>186</v>
      </c>
      <c r="B223" s="8"/>
      <c r="C223" s="8"/>
      <c r="D223" s="8"/>
      <c r="E223" s="8"/>
      <c r="F223" s="8"/>
    </row>
    <row r="224" spans="1:6" x14ac:dyDescent="0.2">
      <c r="B224" s="8"/>
      <c r="C224" s="8"/>
      <c r="D224" s="8"/>
      <c r="E224" s="8"/>
      <c r="F224" s="8"/>
    </row>
    <row r="225" spans="2:6" x14ac:dyDescent="0.2">
      <c r="B225" s="8"/>
      <c r="C225" s="8"/>
      <c r="D225" s="8"/>
      <c r="E225" s="8"/>
      <c r="F225" s="8"/>
    </row>
    <row r="226" spans="2:6" x14ac:dyDescent="0.2">
      <c r="B226" s="8"/>
      <c r="C226" s="8"/>
      <c r="D226" s="8"/>
      <c r="E226" s="8"/>
      <c r="F226" s="8"/>
    </row>
    <row r="227" spans="2:6" x14ac:dyDescent="0.2">
      <c r="B227" s="8"/>
      <c r="C227" s="8"/>
      <c r="D227" s="8"/>
      <c r="E227" s="8"/>
      <c r="F227" s="8"/>
    </row>
    <row r="228" spans="2:6" x14ac:dyDescent="0.2">
      <c r="B228" s="8"/>
      <c r="C228" s="8"/>
      <c r="D228" s="8"/>
      <c r="E228" s="8"/>
      <c r="F228" s="8"/>
    </row>
    <row r="229" spans="2:6" x14ac:dyDescent="0.2">
      <c r="B229" s="8"/>
      <c r="C229" s="8"/>
      <c r="D229" s="8"/>
      <c r="E229" s="8"/>
      <c r="F229" s="8"/>
    </row>
    <row r="230" spans="2:6" x14ac:dyDescent="0.2">
      <c r="B230" s="8"/>
      <c r="C230" s="8"/>
      <c r="D230" s="8"/>
      <c r="E230" s="8"/>
      <c r="F230" s="8"/>
    </row>
    <row r="231" spans="2:6" x14ac:dyDescent="0.2">
      <c r="B231" s="8"/>
      <c r="C231" s="8"/>
      <c r="D231" s="8"/>
      <c r="E231" s="8"/>
      <c r="F231" s="8"/>
    </row>
    <row r="232" spans="2:6" x14ac:dyDescent="0.2">
      <c r="B232" s="8"/>
      <c r="C232" s="8"/>
      <c r="D232" s="8"/>
      <c r="E232" s="8"/>
      <c r="F232" s="8"/>
    </row>
    <row r="233" spans="2:6" x14ac:dyDescent="0.2">
      <c r="B233" s="8"/>
      <c r="C233" s="8"/>
      <c r="D233" s="8"/>
      <c r="E233" s="8"/>
      <c r="F233" s="8"/>
    </row>
    <row r="234" spans="2:6" x14ac:dyDescent="0.2">
      <c r="B234" s="8"/>
      <c r="C234" s="8"/>
      <c r="D234" s="8"/>
      <c r="E234" s="8"/>
      <c r="F234" s="8"/>
    </row>
    <row r="235" spans="2:6" x14ac:dyDescent="0.2">
      <c r="B235" s="8"/>
      <c r="C235" s="8"/>
      <c r="D235" s="8"/>
      <c r="E235" s="8"/>
      <c r="F235" s="8"/>
    </row>
    <row r="236" spans="2:6" x14ac:dyDescent="0.2">
      <c r="B236" s="8"/>
      <c r="C236" s="8"/>
      <c r="D236" s="8"/>
      <c r="E236" s="8"/>
      <c r="F236" s="8"/>
    </row>
    <row r="237" spans="2:6" x14ac:dyDescent="0.2">
      <c r="B237" s="8"/>
      <c r="C237" s="8"/>
      <c r="D237" s="8"/>
      <c r="E237" s="8"/>
      <c r="F237" s="8"/>
    </row>
    <row r="238" spans="2:6" x14ac:dyDescent="0.2">
      <c r="B238" s="8"/>
      <c r="C238" s="8"/>
      <c r="D238" s="8"/>
      <c r="E238" s="8"/>
      <c r="F238" s="8"/>
    </row>
    <row r="239" spans="2:6" x14ac:dyDescent="0.2">
      <c r="B239" s="8"/>
      <c r="C239" s="8"/>
      <c r="D239" s="8"/>
      <c r="E239" s="8"/>
      <c r="F239" s="8"/>
    </row>
    <row r="240" spans="2:6" x14ac:dyDescent="0.2">
      <c r="B240" s="8"/>
      <c r="C240" s="8"/>
      <c r="D240" s="8"/>
      <c r="E240" s="8"/>
      <c r="F240" s="8"/>
    </row>
    <row r="241" spans="2:6" x14ac:dyDescent="0.2">
      <c r="B241" s="8"/>
      <c r="C241" s="8"/>
      <c r="D241" s="8"/>
      <c r="E241" s="8"/>
      <c r="F241" s="8"/>
    </row>
    <row r="242" spans="2:6" x14ac:dyDescent="0.2">
      <c r="B242" s="8"/>
      <c r="C242" s="8"/>
      <c r="D242" s="8"/>
      <c r="E242" s="8"/>
      <c r="F242" s="8"/>
    </row>
    <row r="243" spans="2:6" x14ac:dyDescent="0.2">
      <c r="B243" s="8"/>
      <c r="C243" s="8"/>
      <c r="D243" s="8"/>
      <c r="E243" s="8"/>
      <c r="F243" s="8"/>
    </row>
    <row r="244" spans="2:6" x14ac:dyDescent="0.2">
      <c r="B244" s="8"/>
      <c r="C244" s="8"/>
      <c r="D244" s="8"/>
      <c r="E244" s="8"/>
      <c r="F244" s="8"/>
    </row>
    <row r="245" spans="2:6" x14ac:dyDescent="0.2">
      <c r="B245" s="8"/>
      <c r="C245" s="8"/>
      <c r="D245" s="8"/>
      <c r="E245" s="8"/>
      <c r="F245" s="8"/>
    </row>
    <row r="246" spans="2:6" x14ac:dyDescent="0.2">
      <c r="B246" s="8"/>
      <c r="C246" s="8"/>
      <c r="D246" s="8"/>
      <c r="E246" s="8"/>
      <c r="F246" s="8"/>
    </row>
    <row r="247" spans="2:6" x14ac:dyDescent="0.2">
      <c r="B247" s="8"/>
      <c r="C247" s="8"/>
      <c r="D247" s="8"/>
      <c r="E247" s="8"/>
      <c r="F247" s="8"/>
    </row>
    <row r="248" spans="2:6" x14ac:dyDescent="0.2">
      <c r="B248" s="8"/>
      <c r="C248" s="8"/>
      <c r="D248" s="8"/>
      <c r="E248" s="8"/>
      <c r="F248" s="8"/>
    </row>
    <row r="249" spans="2:6" x14ac:dyDescent="0.2">
      <c r="B249" s="7"/>
      <c r="C249" s="7"/>
      <c r="D249" s="7"/>
      <c r="E249" s="7"/>
      <c r="F249" s="7"/>
    </row>
  </sheetData>
  <mergeCells count="24">
    <mergeCell ref="A201:F201"/>
    <mergeCell ref="A214:F214"/>
    <mergeCell ref="B104:E104"/>
    <mergeCell ref="B116:E116"/>
    <mergeCell ref="B128:E128"/>
    <mergeCell ref="A140:F140"/>
    <mergeCell ref="A147:F147"/>
    <mergeCell ref="A185:F185"/>
    <mergeCell ref="J46:K46"/>
    <mergeCell ref="A63:F63"/>
    <mergeCell ref="A80:F80"/>
    <mergeCell ref="B81:E81"/>
    <mergeCell ref="B92:E92"/>
    <mergeCell ref="A45:F45"/>
    <mergeCell ref="B46:C46"/>
    <mergeCell ref="D46:E46"/>
    <mergeCell ref="F46:G46"/>
    <mergeCell ref="H46:I46"/>
    <mergeCell ref="A35:F35"/>
    <mergeCell ref="A5:F5"/>
    <mergeCell ref="A11:F11"/>
    <mergeCell ref="A3:F3"/>
    <mergeCell ref="A2:F2"/>
    <mergeCell ref="A28:F28"/>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9E29-B6AF-45F0-9A29-62A9BC99ED1C}">
  <dimension ref="B2:O66"/>
  <sheetViews>
    <sheetView zoomScale="94" zoomScaleNormal="150" workbookViewId="0">
      <selection activeCell="I5" sqref="I5"/>
    </sheetView>
  </sheetViews>
  <sheetFormatPr defaultColWidth="10.76171875" defaultRowHeight="15" x14ac:dyDescent="0.2"/>
  <cols>
    <col min="1" max="1" width="7.6640625" customWidth="1"/>
    <col min="2" max="2" width="15.6015625" bestFit="1" customWidth="1"/>
    <col min="3" max="3" width="14.2578125" bestFit="1" customWidth="1"/>
    <col min="4" max="7" width="13.1796875" bestFit="1" customWidth="1"/>
    <col min="8" max="8" width="13.1796875" customWidth="1"/>
  </cols>
  <sheetData>
    <row r="2" spans="2:11" x14ac:dyDescent="0.2">
      <c r="B2" s="97" t="s">
        <v>197</v>
      </c>
      <c r="C2" s="97"/>
      <c r="D2" s="97"/>
      <c r="E2" s="97"/>
      <c r="F2" s="97"/>
      <c r="G2" s="97"/>
      <c r="H2" s="43"/>
    </row>
    <row r="4" spans="2:11" x14ac:dyDescent="0.2">
      <c r="B4" s="37" t="s">
        <v>200</v>
      </c>
      <c r="C4" s="37">
        <v>2020</v>
      </c>
      <c r="D4" s="37">
        <v>2021</v>
      </c>
      <c r="E4" s="37">
        <v>2022</v>
      </c>
      <c r="F4" s="37">
        <v>2023</v>
      </c>
      <c r="G4" s="37">
        <v>2024</v>
      </c>
      <c r="H4" s="2"/>
    </row>
    <row r="5" spans="2:11" x14ac:dyDescent="0.2">
      <c r="B5" s="37" t="s">
        <v>17</v>
      </c>
      <c r="C5" s="38">
        <f>'BG - ER'!C12/'BG - ER'!C35</f>
        <v>3.9327625821135861</v>
      </c>
      <c r="D5" s="38">
        <f>'BG - ER'!D12/'BG - ER'!D35</f>
        <v>5.0698992464422519</v>
      </c>
      <c r="E5" s="38">
        <f>'BG - ER'!E12/'BG - ER'!E35</f>
        <v>4.8577526006948419</v>
      </c>
      <c r="F5" s="38">
        <f>'BG - ER'!F12/'BG - ER'!F35</f>
        <v>3.8901447652142824</v>
      </c>
      <c r="G5" s="38">
        <f>'BG - ER'!G12/'BG - ER'!G35</f>
        <v>3.701846203004989</v>
      </c>
      <c r="H5" s="1"/>
      <c r="I5" s="1"/>
    </row>
    <row r="6" spans="2:11" x14ac:dyDescent="0.2">
      <c r="B6" s="37" t="s">
        <v>18</v>
      </c>
      <c r="C6" s="38">
        <f>AVERAGE($C$5:$G$5)</f>
        <v>4.2904810794939907</v>
      </c>
      <c r="D6" s="38">
        <f t="shared" ref="D6:G6" si="0">AVERAGE($C$5:$G$5)</f>
        <v>4.2904810794939907</v>
      </c>
      <c r="E6" s="38">
        <f t="shared" si="0"/>
        <v>4.2904810794939907</v>
      </c>
      <c r="F6" s="38">
        <f t="shared" si="0"/>
        <v>4.2904810794939907</v>
      </c>
      <c r="G6" s="38">
        <f t="shared" si="0"/>
        <v>4.2904810794939907</v>
      </c>
      <c r="H6" s="1"/>
    </row>
    <row r="10" spans="2:11" x14ac:dyDescent="0.2">
      <c r="I10" s="96" t="s">
        <v>176</v>
      </c>
      <c r="J10" s="96"/>
      <c r="K10" s="96"/>
    </row>
    <row r="11" spans="2:11" x14ac:dyDescent="0.2">
      <c r="I11" s="96"/>
      <c r="J11" s="96"/>
      <c r="K11" s="96"/>
    </row>
    <row r="12" spans="2:11" x14ac:dyDescent="0.2">
      <c r="I12" s="96"/>
      <c r="J12" s="96"/>
      <c r="K12" s="96"/>
    </row>
    <row r="13" spans="2:11" x14ac:dyDescent="0.2">
      <c r="I13" s="96"/>
      <c r="J13" s="96"/>
      <c r="K13" s="96"/>
    </row>
    <row r="14" spans="2:11" x14ac:dyDescent="0.2">
      <c r="I14" s="96"/>
      <c r="J14" s="96"/>
      <c r="K14" s="96"/>
    </row>
    <row r="15" spans="2:11" x14ac:dyDescent="0.2">
      <c r="I15" s="96"/>
      <c r="J15" s="96"/>
      <c r="K15" s="96"/>
    </row>
    <row r="16" spans="2:11" x14ac:dyDescent="0.2">
      <c r="I16" s="96"/>
      <c r="J16" s="96"/>
      <c r="K16" s="96"/>
    </row>
    <row r="17" spans="2:15" x14ac:dyDescent="0.2">
      <c r="I17" s="96"/>
      <c r="J17" s="96"/>
      <c r="K17" s="96"/>
    </row>
    <row r="18" spans="2:15" x14ac:dyDescent="0.2">
      <c r="I18" s="96"/>
      <c r="J18" s="96"/>
      <c r="K18" s="96"/>
    </row>
    <row r="19" spans="2:15" x14ac:dyDescent="0.2">
      <c r="I19" s="96"/>
      <c r="J19" s="96"/>
      <c r="K19" s="96"/>
    </row>
    <row r="20" spans="2:15" x14ac:dyDescent="0.2">
      <c r="I20" s="96"/>
      <c r="J20" s="96"/>
      <c r="K20" s="96"/>
    </row>
    <row r="25" spans="2:15" x14ac:dyDescent="0.2">
      <c r="B25" s="97" t="s">
        <v>198</v>
      </c>
      <c r="C25" s="97"/>
      <c r="D25" s="97"/>
      <c r="E25" s="97"/>
      <c r="F25" s="97"/>
      <c r="G25" s="97"/>
      <c r="H25" s="43"/>
      <c r="L25" s="96" t="s">
        <v>237</v>
      </c>
      <c r="M25" s="96"/>
      <c r="N25" s="96"/>
      <c r="O25" s="96"/>
    </row>
    <row r="26" spans="2:15" x14ac:dyDescent="0.2">
      <c r="L26" s="96"/>
      <c r="M26" s="96"/>
      <c r="N26" s="96"/>
      <c r="O26" s="96"/>
    </row>
    <row r="27" spans="2:15" x14ac:dyDescent="0.2">
      <c r="B27" s="37" t="s">
        <v>200</v>
      </c>
      <c r="C27" s="37">
        <v>2020</v>
      </c>
      <c r="D27" s="37">
        <v>2021</v>
      </c>
      <c r="E27" s="37">
        <v>2022</v>
      </c>
      <c r="F27" s="37">
        <v>2023</v>
      </c>
      <c r="G27" s="37">
        <v>2024</v>
      </c>
      <c r="H27" s="2"/>
      <c r="L27" s="96"/>
      <c r="M27" s="96"/>
      <c r="N27" s="96"/>
      <c r="O27" s="96"/>
    </row>
    <row r="28" spans="2:15" x14ac:dyDescent="0.2">
      <c r="B28" s="37" t="s">
        <v>177</v>
      </c>
      <c r="C28" s="38">
        <f>('BG - ER'!C12-'BG - ER'!C15)/'BG - ER'!C35</f>
        <v>3.8231999063868898</v>
      </c>
      <c r="D28" s="38">
        <f>('BG - ER'!D12-'BG - ER'!D15)/'BG - ER'!D35</f>
        <v>4.922629764418879</v>
      </c>
      <c r="E28" s="38">
        <f>('BG - ER'!E12-'BG - ER'!E15)/'BG - ER'!E35</f>
        <v>4.5627410623914679</v>
      </c>
      <c r="F28" s="38">
        <f>('BG - ER'!F12-'BG - ER'!F15)/'BG - ER'!F35</f>
        <v>3.6105058667392598</v>
      </c>
      <c r="G28" s="38">
        <f>('BG - ER'!G12-'BG - ER'!G15)/'BG - ER'!G35</f>
        <v>3.5152648681391954</v>
      </c>
      <c r="H28" s="1"/>
      <c r="L28" s="96"/>
      <c r="M28" s="96"/>
      <c r="N28" s="96"/>
      <c r="O28" s="96"/>
    </row>
    <row r="29" spans="2:15" x14ac:dyDescent="0.2">
      <c r="B29" s="37" t="s">
        <v>178</v>
      </c>
      <c r="C29" s="38">
        <f>AVERAGE($C$28:$G$28)</f>
        <v>4.0868682936151384</v>
      </c>
      <c r="D29" s="38">
        <f t="shared" ref="D29:G29" si="1">AVERAGE($C$28:$G$28)</f>
        <v>4.0868682936151384</v>
      </c>
      <c r="E29" s="38">
        <f t="shared" si="1"/>
        <v>4.0868682936151384</v>
      </c>
      <c r="F29" s="38">
        <f t="shared" si="1"/>
        <v>4.0868682936151384</v>
      </c>
      <c r="G29" s="38">
        <f t="shared" si="1"/>
        <v>4.0868682936151384</v>
      </c>
      <c r="H29" s="1"/>
      <c r="L29" s="96"/>
      <c r="M29" s="96"/>
      <c r="N29" s="96"/>
      <c r="O29" s="96"/>
    </row>
    <row r="30" spans="2:15" x14ac:dyDescent="0.2">
      <c r="L30" s="96"/>
      <c r="M30" s="96"/>
      <c r="N30" s="96"/>
      <c r="O30" s="96"/>
    </row>
    <row r="31" spans="2:15" x14ac:dyDescent="0.2">
      <c r="L31" s="96"/>
      <c r="M31" s="96"/>
      <c r="N31" s="96"/>
      <c r="O31" s="96"/>
    </row>
    <row r="32" spans="2:15" x14ac:dyDescent="0.2">
      <c r="L32" s="96"/>
      <c r="M32" s="96"/>
      <c r="N32" s="96"/>
      <c r="O32" s="96"/>
    </row>
    <row r="33" spans="2:15" x14ac:dyDescent="0.2">
      <c r="L33" s="96"/>
      <c r="M33" s="96"/>
      <c r="N33" s="96"/>
      <c r="O33" s="96"/>
    </row>
    <row r="34" spans="2:15" x14ac:dyDescent="0.2">
      <c r="J34" s="1">
        <f>CORREL(C5:G5,C28:G28)</f>
        <v>0.99151594150075717</v>
      </c>
      <c r="L34" s="96"/>
      <c r="M34" s="96"/>
      <c r="N34" s="96"/>
      <c r="O34" s="96"/>
    </row>
    <row r="35" spans="2:15" x14ac:dyDescent="0.2">
      <c r="L35" s="96"/>
      <c r="M35" s="96"/>
      <c r="N35" s="96"/>
      <c r="O35" s="96"/>
    </row>
    <row r="36" spans="2:15" x14ac:dyDescent="0.2">
      <c r="L36" s="96"/>
      <c r="M36" s="96"/>
      <c r="N36" s="96"/>
      <c r="O36" s="96"/>
    </row>
    <row r="48" spans="2:15" x14ac:dyDescent="0.2">
      <c r="B48" s="97" t="s">
        <v>199</v>
      </c>
      <c r="C48" s="97"/>
      <c r="D48" s="97"/>
      <c r="E48" s="97"/>
      <c r="F48" s="97"/>
      <c r="G48" s="97"/>
      <c r="H48" s="40"/>
    </row>
    <row r="49" spans="2:12" x14ac:dyDescent="0.2">
      <c r="J49" s="32"/>
    </row>
    <row r="50" spans="2:12" x14ac:dyDescent="0.2">
      <c r="B50" s="2" t="s">
        <v>200</v>
      </c>
      <c r="C50" s="2">
        <v>2020</v>
      </c>
      <c r="D50" s="2">
        <v>2021</v>
      </c>
      <c r="E50" s="2">
        <v>2022</v>
      </c>
      <c r="F50" s="2">
        <v>2023</v>
      </c>
      <c r="G50" s="2">
        <v>2024</v>
      </c>
      <c r="H50" s="2"/>
      <c r="J50" s="2" t="s">
        <v>201</v>
      </c>
    </row>
    <row r="51" spans="2:12" x14ac:dyDescent="0.2">
      <c r="B51" s="2" t="s">
        <v>179</v>
      </c>
      <c r="C51" s="39">
        <f>'BG - ER'!C6/'BG - ER'!C35</f>
        <v>1.2051394804533488</v>
      </c>
      <c r="D51" s="39">
        <f>'BG - ER'!D6/'BG - ER'!D35</f>
        <v>2.2087542839488936</v>
      </c>
      <c r="E51" s="39">
        <f>'BG - ER'!E6/'BG - ER'!E35</f>
        <v>2.2995045110205048</v>
      </c>
      <c r="F51" s="39">
        <f>'BG - ER'!F6/'BG - ER'!F35</f>
        <v>0.91134613460511005</v>
      </c>
      <c r="G51" s="39">
        <f>'BG - ER'!G6/'BG - ER'!G35</f>
        <v>0.62403583341147728</v>
      </c>
      <c r="H51" s="16"/>
    </row>
    <row r="52" spans="2:12" x14ac:dyDescent="0.2">
      <c r="B52" s="2" t="s">
        <v>180</v>
      </c>
      <c r="C52" s="39">
        <f>AVERAGE($C$51:$G$51)</f>
        <v>1.4497560486878669</v>
      </c>
      <c r="D52" s="39">
        <f t="shared" ref="D52:G52" si="2">AVERAGE($C$51:$G$51)</f>
        <v>1.4497560486878669</v>
      </c>
      <c r="E52" s="39">
        <f t="shared" si="2"/>
        <v>1.4497560486878669</v>
      </c>
      <c r="F52" s="39">
        <f t="shared" si="2"/>
        <v>1.4497560486878669</v>
      </c>
      <c r="G52" s="39">
        <f t="shared" si="2"/>
        <v>1.4497560486878669</v>
      </c>
      <c r="H52" s="39"/>
    </row>
    <row r="54" spans="2:12" x14ac:dyDescent="0.2">
      <c r="I54" s="96" t="s">
        <v>238</v>
      </c>
      <c r="J54" s="96"/>
      <c r="K54" s="96"/>
      <c r="L54" s="96"/>
    </row>
    <row r="55" spans="2:12" x14ac:dyDescent="0.2">
      <c r="I55" s="96"/>
      <c r="J55" s="96"/>
      <c r="K55" s="96"/>
      <c r="L55" s="96"/>
    </row>
    <row r="56" spans="2:12" x14ac:dyDescent="0.2">
      <c r="I56" s="96"/>
      <c r="J56" s="96"/>
      <c r="K56" s="96"/>
      <c r="L56" s="96"/>
    </row>
    <row r="57" spans="2:12" x14ac:dyDescent="0.2">
      <c r="I57" s="96"/>
      <c r="J57" s="96"/>
      <c r="K57" s="96"/>
      <c r="L57" s="96"/>
    </row>
    <row r="58" spans="2:12" x14ac:dyDescent="0.2">
      <c r="I58" s="96"/>
      <c r="J58" s="96"/>
      <c r="K58" s="96"/>
      <c r="L58" s="96"/>
    </row>
    <row r="59" spans="2:12" x14ac:dyDescent="0.2">
      <c r="I59" s="96"/>
      <c r="J59" s="96"/>
      <c r="K59" s="96"/>
      <c r="L59" s="96"/>
    </row>
    <row r="60" spans="2:12" x14ac:dyDescent="0.2">
      <c r="I60" s="96"/>
      <c r="J60" s="96"/>
      <c r="K60" s="96"/>
      <c r="L60" s="96"/>
    </row>
    <row r="61" spans="2:12" x14ac:dyDescent="0.2">
      <c r="I61" s="96"/>
      <c r="J61" s="96"/>
      <c r="K61" s="96"/>
      <c r="L61" s="96"/>
    </row>
    <row r="62" spans="2:12" x14ac:dyDescent="0.2">
      <c r="I62" s="96"/>
      <c r="J62" s="96"/>
      <c r="K62" s="96"/>
      <c r="L62" s="96"/>
    </row>
    <row r="63" spans="2:12" x14ac:dyDescent="0.2">
      <c r="I63" s="96"/>
      <c r="J63" s="96"/>
      <c r="K63" s="96"/>
      <c r="L63" s="96"/>
    </row>
    <row r="64" spans="2:12" x14ac:dyDescent="0.2">
      <c r="I64" s="96"/>
      <c r="J64" s="96"/>
      <c r="K64" s="96"/>
      <c r="L64" s="96"/>
    </row>
    <row r="65" spans="9:12" x14ac:dyDescent="0.2">
      <c r="I65" s="96"/>
      <c r="J65" s="96"/>
      <c r="K65" s="96"/>
      <c r="L65" s="96"/>
    </row>
    <row r="66" spans="9:12" x14ac:dyDescent="0.2">
      <c r="I66" s="96"/>
      <c r="J66" s="96"/>
      <c r="K66" s="96"/>
      <c r="L66" s="96"/>
    </row>
  </sheetData>
  <mergeCells count="6">
    <mergeCell ref="I54:L66"/>
    <mergeCell ref="I10:K20"/>
    <mergeCell ref="B2:G2"/>
    <mergeCell ref="B25:G25"/>
    <mergeCell ref="B48:G48"/>
    <mergeCell ref="L25:O36"/>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A376-E2E6-4B23-BE36-4DBCDD85EE11}">
  <dimension ref="B2:T77"/>
  <sheetViews>
    <sheetView topLeftCell="A16" zoomScale="78" zoomScaleNormal="100" workbookViewId="0">
      <selection activeCell="C27" sqref="C27"/>
    </sheetView>
  </sheetViews>
  <sheetFormatPr defaultColWidth="10.76171875" defaultRowHeight="15" x14ac:dyDescent="0.2"/>
  <cols>
    <col min="2" max="2" width="15.73828125" bestFit="1" customWidth="1"/>
    <col min="9" max="9" width="13.31640625" bestFit="1" customWidth="1"/>
  </cols>
  <sheetData>
    <row r="2" spans="2:12" x14ac:dyDescent="0.2">
      <c r="B2" s="97" t="s">
        <v>183</v>
      </c>
      <c r="C2" s="97"/>
      <c r="D2" s="97"/>
      <c r="E2" s="97"/>
      <c r="F2" s="97"/>
      <c r="G2" s="97"/>
    </row>
    <row r="3" spans="2:12" x14ac:dyDescent="0.2">
      <c r="B3" s="2" t="s">
        <v>200</v>
      </c>
      <c r="C3" s="2">
        <v>2020</v>
      </c>
      <c r="D3" s="2">
        <v>2021</v>
      </c>
      <c r="E3" s="2">
        <v>2022</v>
      </c>
      <c r="F3" s="2">
        <v>2023</v>
      </c>
      <c r="G3" s="2">
        <v>2024</v>
      </c>
    </row>
    <row r="4" spans="2:12" x14ac:dyDescent="0.2">
      <c r="B4" t="s">
        <v>181</v>
      </c>
      <c r="C4" s="16">
        <f>'BG - ER'!C43/'BG - ER'!C23</f>
        <v>0.37021318899976341</v>
      </c>
      <c r="D4" s="16">
        <f>'BG - ER'!D43/'BG - ER'!D23</f>
        <v>0.32696194074447937</v>
      </c>
      <c r="E4" s="16">
        <f>'BG - ER'!E43/'BG - ER'!E23</f>
        <v>0.30418577658441703</v>
      </c>
      <c r="F4" s="16">
        <f>'BG - ER'!F43/'BG - ER'!F23</f>
        <v>0.34444988508467006</v>
      </c>
      <c r="G4" s="16">
        <f>'BG - ER'!G43/'BG - ER'!G23</f>
        <v>0.34794999134989857</v>
      </c>
    </row>
    <row r="5" spans="2:12" ht="14.45" customHeight="1" x14ac:dyDescent="0.2">
      <c r="B5" t="s">
        <v>182</v>
      </c>
      <c r="C5" s="16">
        <f>AVERAGE($C$4:$G$4)</f>
        <v>0.33875215655264562</v>
      </c>
      <c r="D5" s="16">
        <f t="shared" ref="D5:G5" si="0">AVERAGE($C$4:$G$4)</f>
        <v>0.33875215655264562</v>
      </c>
      <c r="E5" s="16">
        <f t="shared" si="0"/>
        <v>0.33875215655264562</v>
      </c>
      <c r="F5" s="16">
        <f t="shared" si="0"/>
        <v>0.33875215655264562</v>
      </c>
      <c r="G5" s="16">
        <f t="shared" si="0"/>
        <v>0.33875215655264562</v>
      </c>
      <c r="I5" s="98" t="s">
        <v>207</v>
      </c>
      <c r="J5" s="98"/>
      <c r="K5" s="98"/>
      <c r="L5" s="98"/>
    </row>
    <row r="6" spans="2:12" x14ac:dyDescent="0.2">
      <c r="I6" s="98"/>
      <c r="J6" s="98"/>
      <c r="K6" s="98"/>
      <c r="L6" s="98"/>
    </row>
    <row r="7" spans="2:12" x14ac:dyDescent="0.2">
      <c r="I7" s="98"/>
      <c r="J7" s="98"/>
      <c r="K7" s="98"/>
      <c r="L7" s="98"/>
    </row>
    <row r="8" spans="2:12" x14ac:dyDescent="0.2">
      <c r="I8" s="98"/>
      <c r="J8" s="98"/>
      <c r="K8" s="98"/>
      <c r="L8" s="98"/>
    </row>
    <row r="9" spans="2:12" x14ac:dyDescent="0.2">
      <c r="I9" s="98"/>
      <c r="J9" s="98"/>
      <c r="K9" s="98"/>
      <c r="L9" s="98"/>
    </row>
    <row r="10" spans="2:12" x14ac:dyDescent="0.2">
      <c r="I10" s="98"/>
      <c r="J10" s="98"/>
      <c r="K10" s="98"/>
      <c r="L10" s="98"/>
    </row>
    <row r="11" spans="2:12" x14ac:dyDescent="0.2">
      <c r="I11" s="98"/>
      <c r="J11" s="98"/>
      <c r="K11" s="98"/>
      <c r="L11" s="98"/>
    </row>
    <row r="12" spans="2:12" x14ac:dyDescent="0.2">
      <c r="I12" s="98"/>
      <c r="J12" s="98"/>
      <c r="K12" s="98"/>
      <c r="L12" s="98"/>
    </row>
    <row r="13" spans="2:12" ht="24" customHeight="1" x14ac:dyDescent="0.2">
      <c r="I13" s="98"/>
      <c r="J13" s="98"/>
      <c r="K13" s="98"/>
      <c r="L13" s="98"/>
    </row>
    <row r="14" spans="2:12" x14ac:dyDescent="0.2">
      <c r="I14" s="98"/>
      <c r="J14" s="98"/>
      <c r="K14" s="98"/>
      <c r="L14" s="98"/>
    </row>
    <row r="15" spans="2:12" x14ac:dyDescent="0.2">
      <c r="I15" s="98"/>
      <c r="J15" s="98"/>
      <c r="K15" s="98"/>
      <c r="L15" s="98"/>
    </row>
    <row r="18" spans="2:20" x14ac:dyDescent="0.2">
      <c r="I18" t="s">
        <v>202</v>
      </c>
    </row>
    <row r="19" spans="2:20" x14ac:dyDescent="0.2">
      <c r="I19" s="17" t="s">
        <v>203</v>
      </c>
      <c r="J19" t="s">
        <v>204</v>
      </c>
    </row>
    <row r="20" spans="2:20" x14ac:dyDescent="0.2">
      <c r="I20" s="17" t="s">
        <v>205</v>
      </c>
      <c r="J20" t="s">
        <v>206</v>
      </c>
    </row>
    <row r="25" spans="2:20" x14ac:dyDescent="0.2">
      <c r="B25" s="97" t="s">
        <v>212</v>
      </c>
      <c r="C25" s="97"/>
      <c r="D25" s="97"/>
      <c r="E25" s="97"/>
      <c r="F25" s="97"/>
      <c r="G25" s="97"/>
    </row>
    <row r="26" spans="2:20" x14ac:dyDescent="0.2">
      <c r="B26" s="2" t="s">
        <v>200</v>
      </c>
      <c r="C26" s="2">
        <v>2020</v>
      </c>
      <c r="D26" s="2">
        <v>2021</v>
      </c>
      <c r="E26" s="2">
        <v>2022</v>
      </c>
      <c r="F26" s="2">
        <v>2023</v>
      </c>
      <c r="G26" s="2">
        <v>2024</v>
      </c>
      <c r="J26" s="41" t="s">
        <v>210</v>
      </c>
    </row>
    <row r="27" spans="2:20" x14ac:dyDescent="0.2">
      <c r="B27" t="s">
        <v>208</v>
      </c>
      <c r="C27" s="1">
        <f>'BG - ER'!C69/'BG - ER'!C75</f>
        <v>3.1882821245185271</v>
      </c>
      <c r="D27" s="1">
        <f>'BG - ER'!D69/'BG - ER'!D75</f>
        <v>5.3027383624038062</v>
      </c>
      <c r="E27" s="1">
        <f>'BG - ER'!E69/'BG - ER'!E75</f>
        <v>5.8100341664801389</v>
      </c>
      <c r="F27" s="1">
        <f>'BG - ER'!F69/'BG - ER'!F75</f>
        <v>9.814967475608233</v>
      </c>
      <c r="G27" s="1">
        <f>'BG - ER'!G69/'BG - ER'!G75</f>
        <v>3.8813284651906788</v>
      </c>
    </row>
    <row r="28" spans="2:20" x14ac:dyDescent="0.2">
      <c r="B28" t="s">
        <v>209</v>
      </c>
      <c r="C28" s="1">
        <f>AVERAGE($C$27:$G$27)</f>
        <v>5.5994701188402773</v>
      </c>
      <c r="D28" s="1">
        <f t="shared" ref="D28:G28" si="1">AVERAGE($C$27:$G$27)</f>
        <v>5.5994701188402773</v>
      </c>
      <c r="E28" s="1">
        <f t="shared" si="1"/>
        <v>5.5994701188402773</v>
      </c>
      <c r="F28" s="1">
        <f t="shared" si="1"/>
        <v>5.5994701188402773</v>
      </c>
      <c r="G28" s="1">
        <f t="shared" si="1"/>
        <v>5.5994701188402773</v>
      </c>
    </row>
    <row r="29" spans="2:20" x14ac:dyDescent="0.2">
      <c r="I29" s="41" t="s">
        <v>211</v>
      </c>
      <c r="Q29" s="96" t="s">
        <v>239</v>
      </c>
      <c r="R29" s="96"/>
      <c r="S29" s="96"/>
      <c r="T29" s="96"/>
    </row>
    <row r="30" spans="2:20" x14ac:dyDescent="0.2">
      <c r="I30" s="41" t="s">
        <v>213</v>
      </c>
      <c r="Q30" s="96"/>
      <c r="R30" s="96"/>
      <c r="S30" s="96"/>
      <c r="T30" s="96"/>
    </row>
    <row r="31" spans="2:20" x14ac:dyDescent="0.2">
      <c r="I31" s="2" t="s">
        <v>219</v>
      </c>
      <c r="Q31" s="96"/>
      <c r="R31" s="96"/>
      <c r="S31" s="96"/>
      <c r="T31" s="96"/>
    </row>
    <row r="32" spans="2:20" x14ac:dyDescent="0.2">
      <c r="I32" s="41" t="s">
        <v>218</v>
      </c>
      <c r="Q32" s="96"/>
      <c r="R32" s="96"/>
      <c r="S32" s="96"/>
      <c r="T32" s="96"/>
    </row>
    <row r="33" spans="2:20" x14ac:dyDescent="0.2">
      <c r="I33" s="41" t="s">
        <v>214</v>
      </c>
      <c r="Q33" s="96"/>
      <c r="R33" s="96"/>
      <c r="S33" s="96"/>
      <c r="T33" s="96"/>
    </row>
    <row r="34" spans="2:20" x14ac:dyDescent="0.2">
      <c r="I34" s="41" t="s">
        <v>215</v>
      </c>
      <c r="Q34" s="96"/>
      <c r="R34" s="96"/>
      <c r="S34" s="96"/>
      <c r="T34" s="96"/>
    </row>
    <row r="35" spans="2:20" x14ac:dyDescent="0.2">
      <c r="Q35" s="96"/>
      <c r="R35" s="96"/>
      <c r="S35" s="96"/>
      <c r="T35" s="96"/>
    </row>
    <row r="36" spans="2:20" x14ac:dyDescent="0.2">
      <c r="I36" s="41" t="s">
        <v>216</v>
      </c>
      <c r="Q36" s="96"/>
      <c r="R36" s="96"/>
      <c r="S36" s="96"/>
      <c r="T36" s="96"/>
    </row>
    <row r="37" spans="2:20" x14ac:dyDescent="0.2">
      <c r="Q37" s="96"/>
      <c r="R37" s="96"/>
      <c r="S37" s="96"/>
      <c r="T37" s="96"/>
    </row>
    <row r="38" spans="2:20" x14ac:dyDescent="0.2">
      <c r="Q38" s="96"/>
      <c r="R38" s="96"/>
      <c r="S38" s="96"/>
      <c r="T38" s="96"/>
    </row>
    <row r="39" spans="2:20" x14ac:dyDescent="0.2">
      <c r="I39" s="1">
        <f>CORREL(C4:G4,C27:G27)</f>
        <v>-0.27994889171312354</v>
      </c>
      <c r="J39" s="41" t="s">
        <v>236</v>
      </c>
      <c r="Q39" s="96"/>
      <c r="R39" s="96"/>
      <c r="S39" s="96"/>
      <c r="T39" s="96"/>
    </row>
    <row r="40" spans="2:20" x14ac:dyDescent="0.2">
      <c r="J40" s="41" t="s">
        <v>217</v>
      </c>
    </row>
    <row r="47" spans="2:20" x14ac:dyDescent="0.2">
      <c r="B47" s="2" t="s">
        <v>220</v>
      </c>
    </row>
    <row r="48" spans="2:20" x14ac:dyDescent="0.2">
      <c r="B48" s="41" t="s">
        <v>221</v>
      </c>
    </row>
    <row r="49" spans="2:17" x14ac:dyDescent="0.2">
      <c r="B49" s="41" t="s">
        <v>222</v>
      </c>
    </row>
    <row r="50" spans="2:17" x14ac:dyDescent="0.2">
      <c r="B50" s="41" t="s">
        <v>223</v>
      </c>
      <c r="N50" s="96" t="s">
        <v>240</v>
      </c>
      <c r="O50" s="96"/>
      <c r="P50" s="96"/>
      <c r="Q50" s="96"/>
    </row>
    <row r="51" spans="2:17" x14ac:dyDescent="0.2">
      <c r="N51" s="96"/>
      <c r="O51" s="96"/>
      <c r="P51" s="96"/>
      <c r="Q51" s="96"/>
    </row>
    <row r="52" spans="2:17" x14ac:dyDescent="0.2">
      <c r="B52" s="97" t="s">
        <v>224</v>
      </c>
      <c r="C52" s="97"/>
      <c r="D52" s="97"/>
      <c r="E52" s="97"/>
      <c r="F52" s="97"/>
      <c r="G52" s="97"/>
      <c r="N52" s="96"/>
      <c r="O52" s="96"/>
      <c r="P52" s="96"/>
      <c r="Q52" s="96"/>
    </row>
    <row r="53" spans="2:17" x14ac:dyDescent="0.2">
      <c r="B53" s="2" t="s">
        <v>200</v>
      </c>
      <c r="C53" s="2">
        <v>2020</v>
      </c>
      <c r="D53" s="2">
        <v>2021</v>
      </c>
      <c r="E53" s="2">
        <v>2022</v>
      </c>
      <c r="F53" s="2">
        <v>2023</v>
      </c>
      <c r="G53" s="2">
        <v>2024</v>
      </c>
      <c r="N53" s="96"/>
      <c r="O53" s="96"/>
      <c r="P53" s="96"/>
      <c r="Q53" s="96"/>
    </row>
    <row r="54" spans="2:17" x14ac:dyDescent="0.2">
      <c r="B54" s="2" t="s">
        <v>225</v>
      </c>
      <c r="C54" s="16">
        <f>'BG - ER'!C35/'BG - ER'!C43</f>
        <v>0.47762472497580366</v>
      </c>
      <c r="D54" s="16">
        <f>'BG - ER'!D35/'BG - ER'!D43</f>
        <v>0.42021134331477594</v>
      </c>
      <c r="E54" s="16">
        <f>'BG - ER'!E35/'BG - ER'!E43</f>
        <v>0.43975150898832793</v>
      </c>
      <c r="F54" s="16">
        <f>'BG - ER'!F35/'BG - ER'!F43</f>
        <v>0.4025180054539213</v>
      </c>
      <c r="G54" s="16">
        <f>'BG - ER'!G35/'BG - ER'!G43</f>
        <v>0.44497700515600108</v>
      </c>
      <c r="N54" s="96"/>
      <c r="O54" s="96"/>
      <c r="P54" s="96"/>
      <c r="Q54" s="96"/>
    </row>
    <row r="55" spans="2:17" x14ac:dyDescent="0.2">
      <c r="B55" s="2" t="s">
        <v>226</v>
      </c>
      <c r="C55" s="16">
        <f>AVERAGE($C$54:$G$54)</f>
        <v>0.43701651757776594</v>
      </c>
      <c r="D55" s="16">
        <f t="shared" ref="D55:G55" si="2">AVERAGE($C$54:$G$54)</f>
        <v>0.43701651757776594</v>
      </c>
      <c r="E55" s="16">
        <f t="shared" si="2"/>
        <v>0.43701651757776594</v>
      </c>
      <c r="F55" s="16">
        <f t="shared" si="2"/>
        <v>0.43701651757776594</v>
      </c>
      <c r="G55" s="16">
        <f t="shared" si="2"/>
        <v>0.43701651757776594</v>
      </c>
      <c r="N55" s="96"/>
      <c r="O55" s="96"/>
      <c r="P55" s="96"/>
      <c r="Q55" s="96"/>
    </row>
    <row r="56" spans="2:17" x14ac:dyDescent="0.2">
      <c r="N56" s="96"/>
      <c r="O56" s="96"/>
      <c r="P56" s="96"/>
      <c r="Q56" s="96"/>
    </row>
    <row r="57" spans="2:17" x14ac:dyDescent="0.2">
      <c r="N57" s="96"/>
      <c r="O57" s="96"/>
      <c r="P57" s="96"/>
      <c r="Q57" s="96"/>
    </row>
    <row r="58" spans="2:17" x14ac:dyDescent="0.2">
      <c r="N58" s="96"/>
      <c r="O58" s="96"/>
      <c r="P58" s="96"/>
      <c r="Q58" s="96"/>
    </row>
    <row r="59" spans="2:17" x14ac:dyDescent="0.2">
      <c r="N59" s="96"/>
      <c r="O59" s="96"/>
      <c r="P59" s="96"/>
      <c r="Q59" s="96"/>
    </row>
    <row r="60" spans="2:17" x14ac:dyDescent="0.2">
      <c r="N60" s="96"/>
      <c r="O60" s="96"/>
      <c r="P60" s="96"/>
      <c r="Q60" s="96"/>
    </row>
    <row r="61" spans="2:17" x14ac:dyDescent="0.2">
      <c r="I61" s="42">
        <f>CORREL(C54:G54,LIQUIDEZ!C5:G5)</f>
        <v>-0.23984711930315411</v>
      </c>
      <c r="J61" s="2" t="s">
        <v>232</v>
      </c>
      <c r="N61" s="96"/>
      <c r="O61" s="96"/>
      <c r="P61" s="96"/>
      <c r="Q61" s="96"/>
    </row>
    <row r="62" spans="2:17" x14ac:dyDescent="0.2">
      <c r="N62" s="96"/>
      <c r="O62" s="96"/>
      <c r="P62" s="96"/>
      <c r="Q62" s="96"/>
    </row>
    <row r="63" spans="2:17" x14ac:dyDescent="0.2">
      <c r="I63" s="41" t="s">
        <v>231</v>
      </c>
    </row>
    <row r="64" spans="2:17" x14ac:dyDescent="0.2">
      <c r="I64" s="41" t="s">
        <v>233</v>
      </c>
    </row>
    <row r="65" spans="2:9" x14ac:dyDescent="0.2">
      <c r="I65" s="41" t="s">
        <v>234</v>
      </c>
    </row>
    <row r="66" spans="2:9" x14ac:dyDescent="0.2">
      <c r="I66" s="41" t="s">
        <v>235</v>
      </c>
    </row>
    <row r="74" spans="2:9" x14ac:dyDescent="0.2">
      <c r="B74" s="41" t="s">
        <v>230</v>
      </c>
    </row>
    <row r="75" spans="2:9" x14ac:dyDescent="0.2">
      <c r="B75" s="41" t="s">
        <v>227</v>
      </c>
    </row>
    <row r="76" spans="2:9" x14ac:dyDescent="0.2">
      <c r="B76" s="41" t="s">
        <v>228</v>
      </c>
    </row>
    <row r="77" spans="2:9" x14ac:dyDescent="0.2">
      <c r="B77" s="2" t="s">
        <v>229</v>
      </c>
    </row>
  </sheetData>
  <mergeCells count="6">
    <mergeCell ref="B2:G2"/>
    <mergeCell ref="I5:L15"/>
    <mergeCell ref="B25:G25"/>
    <mergeCell ref="B52:G52"/>
    <mergeCell ref="Q29:T39"/>
    <mergeCell ref="N50:Q6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CDE6-106F-408B-9AD0-CF06D0A3E32D}">
  <dimension ref="B3:I97"/>
  <sheetViews>
    <sheetView workbookViewId="0">
      <selection activeCell="I21" sqref="I21"/>
    </sheetView>
  </sheetViews>
  <sheetFormatPr defaultColWidth="10.76171875" defaultRowHeight="15" x14ac:dyDescent="0.2"/>
  <cols>
    <col min="1" max="1" width="7.6640625" customWidth="1"/>
    <col min="2" max="2" width="16.0078125" customWidth="1"/>
  </cols>
  <sheetData>
    <row r="3" spans="2:9" x14ac:dyDescent="0.2">
      <c r="B3" s="97" t="s">
        <v>244</v>
      </c>
      <c r="C3" s="97"/>
      <c r="D3" s="97"/>
      <c r="E3" s="97"/>
      <c r="F3" s="97"/>
      <c r="G3" s="97"/>
    </row>
    <row r="4" spans="2:9" x14ac:dyDescent="0.2">
      <c r="B4" s="2" t="s">
        <v>241</v>
      </c>
      <c r="C4" s="2">
        <v>2020</v>
      </c>
      <c r="D4" s="2">
        <v>2021</v>
      </c>
      <c r="E4" s="2">
        <v>2022</v>
      </c>
      <c r="F4" s="2">
        <v>2023</v>
      </c>
      <c r="G4" s="2">
        <v>2024</v>
      </c>
    </row>
    <row r="5" spans="2:9" x14ac:dyDescent="0.2">
      <c r="B5" s="2" t="s">
        <v>242</v>
      </c>
      <c r="C5" s="1">
        <f>'BG - ER'!C54/'BG - ER'!C23</f>
        <v>0.80855515799333189</v>
      </c>
      <c r="D5" s="1">
        <f>'BG - ER'!D54/'BG - ER'!D23</f>
        <v>0.76212325225926836</v>
      </c>
      <c r="E5" s="1">
        <f>'BG - ER'!E54/'BG - ER'!E23</f>
        <v>0.74061227702714005</v>
      </c>
      <c r="F5" s="1">
        <f>'BG - ER'!F54/'BG - ER'!F23</f>
        <v>0.66962037583351941</v>
      </c>
      <c r="G5" s="1">
        <f>'BG - ER'!G54/'BG - ER'!G23</f>
        <v>0.67026729456093537</v>
      </c>
    </row>
    <row r="6" spans="2:9" x14ac:dyDescent="0.2">
      <c r="B6" s="2" t="s">
        <v>243</v>
      </c>
      <c r="C6" s="1">
        <f>AVERAGE($C$5:$G$5)</f>
        <v>0.73023567153483904</v>
      </c>
      <c r="D6" s="1">
        <f t="shared" ref="D6:G6" si="0">AVERAGE($C$5:$G$5)</f>
        <v>0.73023567153483904</v>
      </c>
      <c r="E6" s="1">
        <f t="shared" si="0"/>
        <v>0.73023567153483904</v>
      </c>
      <c r="F6" s="1">
        <f t="shared" si="0"/>
        <v>0.73023567153483904</v>
      </c>
      <c r="G6" s="1">
        <f t="shared" si="0"/>
        <v>0.73023567153483904</v>
      </c>
    </row>
    <row r="12" spans="2:9" x14ac:dyDescent="0.2">
      <c r="I12" s="44" t="s">
        <v>245</v>
      </c>
    </row>
    <row r="13" spans="2:9" x14ac:dyDescent="0.2">
      <c r="I13" s="44" t="s">
        <v>246</v>
      </c>
    </row>
    <row r="14" spans="2:9" x14ac:dyDescent="0.2">
      <c r="I14" s="44" t="s">
        <v>248</v>
      </c>
    </row>
    <row r="24" spans="2:7" x14ac:dyDescent="0.2">
      <c r="B24" s="2" t="s">
        <v>247</v>
      </c>
    </row>
    <row r="27" spans="2:7" x14ac:dyDescent="0.2">
      <c r="B27" s="97" t="s">
        <v>249</v>
      </c>
      <c r="C27" s="97"/>
      <c r="D27" s="97"/>
      <c r="E27" s="97"/>
      <c r="F27" s="97"/>
      <c r="G27" s="97"/>
    </row>
    <row r="28" spans="2:7" x14ac:dyDescent="0.2">
      <c r="B28" s="2" t="s">
        <v>241</v>
      </c>
      <c r="C28" s="2">
        <v>2020</v>
      </c>
      <c r="D28" s="2">
        <v>2021</v>
      </c>
      <c r="E28" s="2">
        <v>2022</v>
      </c>
      <c r="F28" s="2">
        <v>2023</v>
      </c>
      <c r="G28" s="2">
        <v>2024</v>
      </c>
    </row>
    <row r="29" spans="2:7" x14ac:dyDescent="0.2">
      <c r="B29" s="2" t="s">
        <v>250</v>
      </c>
      <c r="C29" s="45">
        <f>360/('BG - ER'!C54/'BG - ER'!C8)</f>
        <v>77.687611817219604</v>
      </c>
      <c r="D29" s="45">
        <f>360/('BG - ER'!D54/'BG - ER'!D8)</f>
        <v>35.589313786796112</v>
      </c>
      <c r="E29" s="45">
        <f>360/('BG - ER'!E54/'BG - ER'!E8)</f>
        <v>37.594331584718255</v>
      </c>
      <c r="F29" s="45">
        <f>360/('BG - ER'!F54/'BG - ER'!F8)</f>
        <v>46.306578967879467</v>
      </c>
      <c r="G29" s="45">
        <f>360/('BG - ER'!G54/'BG - ER'!G8)</f>
        <v>58.090311731498723</v>
      </c>
    </row>
    <row r="30" spans="2:7" x14ac:dyDescent="0.2">
      <c r="B30" s="2" t="s">
        <v>251</v>
      </c>
      <c r="C30" s="1">
        <f>AVERAGE($C$29:$G$29)</f>
        <v>51.053629577622431</v>
      </c>
      <c r="D30" s="1">
        <f t="shared" ref="D30:G30" si="1">AVERAGE($C$29:$G$29)</f>
        <v>51.053629577622431</v>
      </c>
      <c r="E30" s="1">
        <f t="shared" si="1"/>
        <v>51.053629577622431</v>
      </c>
      <c r="F30" s="1">
        <f t="shared" si="1"/>
        <v>51.053629577622431</v>
      </c>
      <c r="G30" s="1">
        <f t="shared" si="1"/>
        <v>51.053629577622431</v>
      </c>
    </row>
    <row r="39" spans="2:9" x14ac:dyDescent="0.2">
      <c r="I39" s="44" t="s">
        <v>252</v>
      </c>
    </row>
    <row r="40" spans="2:9" x14ac:dyDescent="0.2">
      <c r="I40" s="2" t="s">
        <v>253</v>
      </c>
    </row>
    <row r="41" spans="2:9" x14ac:dyDescent="0.2">
      <c r="I41" s="44" t="s">
        <v>254</v>
      </c>
    </row>
    <row r="42" spans="2:9" x14ac:dyDescent="0.2">
      <c r="I42" s="44" t="s">
        <v>255</v>
      </c>
    </row>
    <row r="43" spans="2:9" x14ac:dyDescent="0.2">
      <c r="I43" s="44" t="s">
        <v>256</v>
      </c>
    </row>
    <row r="44" spans="2:9" x14ac:dyDescent="0.2">
      <c r="I44" s="44" t="s">
        <v>257</v>
      </c>
    </row>
    <row r="45" spans="2:9" x14ac:dyDescent="0.2">
      <c r="I45" s="44" t="s">
        <v>258</v>
      </c>
    </row>
    <row r="46" spans="2:9" x14ac:dyDescent="0.2">
      <c r="I46" s="44" t="s">
        <v>259</v>
      </c>
    </row>
    <row r="48" spans="2:9" x14ac:dyDescent="0.2">
      <c r="B48" s="2" t="s">
        <v>260</v>
      </c>
      <c r="C48" s="2"/>
      <c r="D48" s="2"/>
    </row>
    <row r="49" spans="2:7" x14ac:dyDescent="0.2">
      <c r="B49" s="44" t="s">
        <v>265</v>
      </c>
    </row>
    <row r="50" spans="2:7" x14ac:dyDescent="0.2">
      <c r="B50" s="44" t="s">
        <v>261</v>
      </c>
    </row>
    <row r="53" spans="2:7" x14ac:dyDescent="0.2">
      <c r="B53" s="97" t="s">
        <v>262</v>
      </c>
      <c r="C53" s="97"/>
      <c r="D53" s="97"/>
      <c r="E53" s="97"/>
      <c r="F53" s="97"/>
      <c r="G53" s="97"/>
    </row>
    <row r="54" spans="2:7" x14ac:dyDescent="0.2">
      <c r="B54" s="2" t="s">
        <v>241</v>
      </c>
      <c r="C54" s="2">
        <v>2020</v>
      </c>
      <c r="D54" s="2">
        <v>2021</v>
      </c>
      <c r="E54" s="2">
        <v>2022</v>
      </c>
      <c r="F54" s="2">
        <v>2023</v>
      </c>
      <c r="G54" s="2">
        <v>2024</v>
      </c>
    </row>
    <row r="55" spans="2:7" x14ac:dyDescent="0.2">
      <c r="B55" s="2" t="s">
        <v>263</v>
      </c>
      <c r="C55" s="1">
        <f>360/('BG - ER'!C56/'BG - ER'!C11)</f>
        <v>285.99388763700676</v>
      </c>
      <c r="D55" s="1">
        <f>360/('BG - ER'!D56/'BG - ER'!D11)</f>
        <v>316.59966956463029</v>
      </c>
      <c r="E55" s="1">
        <f>360/('BG - ER'!E56/'BG - ER'!E11)</f>
        <v>265.68874540142082</v>
      </c>
      <c r="F55" s="1">
        <f>360/('BG - ER'!F56/'BG - ER'!F11)</f>
        <v>294.00492257622119</v>
      </c>
      <c r="G55" s="1">
        <f>360/('BG - ER'!G56/'BG - ER'!G11)</f>
        <v>305.03303908070262</v>
      </c>
    </row>
    <row r="56" spans="2:7" x14ac:dyDescent="0.2">
      <c r="B56" s="2" t="s">
        <v>264</v>
      </c>
      <c r="C56" s="1">
        <f>AVERAGE($C$55:$G$55)</f>
        <v>293.46405285199631</v>
      </c>
      <c r="D56" s="1">
        <f t="shared" ref="D56:G56" si="2">AVERAGE($C$55:$G$55)</f>
        <v>293.46405285199631</v>
      </c>
      <c r="E56" s="1">
        <f t="shared" si="2"/>
        <v>293.46405285199631</v>
      </c>
      <c r="F56" s="1">
        <f t="shared" si="2"/>
        <v>293.46405285199631</v>
      </c>
      <c r="G56" s="1">
        <f t="shared" si="2"/>
        <v>293.46405285199631</v>
      </c>
    </row>
    <row r="65" spans="2:9" x14ac:dyDescent="0.2">
      <c r="I65" s="44" t="s">
        <v>266</v>
      </c>
    </row>
    <row r="66" spans="2:9" x14ac:dyDescent="0.2">
      <c r="I66" s="44" t="s">
        <v>268</v>
      </c>
    </row>
    <row r="67" spans="2:9" x14ac:dyDescent="0.2">
      <c r="I67" s="44" t="s">
        <v>267</v>
      </c>
    </row>
    <row r="69" spans="2:9" x14ac:dyDescent="0.2">
      <c r="I69" s="44" t="s">
        <v>269</v>
      </c>
    </row>
    <row r="70" spans="2:9" x14ac:dyDescent="0.2">
      <c r="I70" s="44" t="s">
        <v>270</v>
      </c>
    </row>
    <row r="71" spans="2:9" x14ac:dyDescent="0.2">
      <c r="I71" s="44" t="s">
        <v>271</v>
      </c>
    </row>
    <row r="72" spans="2:9" x14ac:dyDescent="0.2">
      <c r="I72" s="44" t="s">
        <v>272</v>
      </c>
    </row>
    <row r="75" spans="2:9" x14ac:dyDescent="0.2">
      <c r="B75" s="97" t="s">
        <v>275</v>
      </c>
      <c r="C75" s="97"/>
      <c r="D75" s="97"/>
      <c r="E75" s="97"/>
      <c r="F75" s="97"/>
      <c r="G75" s="97"/>
    </row>
    <row r="76" spans="2:9" x14ac:dyDescent="0.2">
      <c r="B76" s="2" t="s">
        <v>241</v>
      </c>
      <c r="C76" s="2">
        <v>2020</v>
      </c>
      <c r="D76" s="2">
        <v>2021</v>
      </c>
      <c r="E76" s="2">
        <v>2022</v>
      </c>
      <c r="F76" s="2">
        <v>2023</v>
      </c>
      <c r="G76" s="2">
        <v>2024</v>
      </c>
    </row>
    <row r="77" spans="2:9" x14ac:dyDescent="0.2">
      <c r="B77" s="2" t="s">
        <v>273</v>
      </c>
      <c r="C77" s="1">
        <f>360/('BG - ER'!C56/'BG - ER'!C29)</f>
        <v>116.42112028984609</v>
      </c>
      <c r="D77" s="1">
        <f>360/('BG - ER'!D56/'BG - ER'!D29)</f>
        <v>73.263712286751073</v>
      </c>
      <c r="E77" s="1">
        <f>360/('BG - ER'!E56/'BG - ER'!E29)</f>
        <v>64.631198385541524</v>
      </c>
      <c r="F77" s="1">
        <f>360/('BG - ER'!F56/'BG - ER'!F29)</f>
        <v>88.950853804686076</v>
      </c>
      <c r="G77" s="1">
        <f>360/('BG - ER'!G56/'BG - ER'!G29)</f>
        <v>105.67581567575458</v>
      </c>
    </row>
    <row r="78" spans="2:9" x14ac:dyDescent="0.2">
      <c r="B78" s="2" t="s">
        <v>274</v>
      </c>
      <c r="C78" s="1">
        <f>AVERAGE($C$77:$G$77)</f>
        <v>89.788540088515873</v>
      </c>
      <c r="D78" s="1">
        <f>AVERAGE($C$77:$G$77)</f>
        <v>89.788540088515873</v>
      </c>
      <c r="E78" s="1">
        <f t="shared" ref="E78:G78" si="3">AVERAGE($C$77:$G$77)</f>
        <v>89.788540088515873</v>
      </c>
      <c r="F78" s="1">
        <f t="shared" si="3"/>
        <v>89.788540088515873</v>
      </c>
      <c r="G78" s="1">
        <f t="shared" si="3"/>
        <v>89.788540088515873</v>
      </c>
    </row>
    <row r="86" spans="2:9" x14ac:dyDescent="0.2">
      <c r="I86" s="44" t="s">
        <v>276</v>
      </c>
    </row>
    <row r="87" spans="2:9" x14ac:dyDescent="0.2">
      <c r="I87" s="44" t="s">
        <v>277</v>
      </c>
    </row>
    <row r="88" spans="2:9" x14ac:dyDescent="0.2">
      <c r="I88" s="44" t="s">
        <v>278</v>
      </c>
    </row>
    <row r="89" spans="2:9" x14ac:dyDescent="0.2">
      <c r="I89" s="44" t="s">
        <v>279</v>
      </c>
    </row>
    <row r="90" spans="2:9" x14ac:dyDescent="0.2">
      <c r="I90" s="44" t="s">
        <v>280</v>
      </c>
    </row>
    <row r="91" spans="2:9" x14ac:dyDescent="0.2">
      <c r="I91" s="44" t="s">
        <v>281</v>
      </c>
    </row>
    <row r="92" spans="2:9" x14ac:dyDescent="0.2">
      <c r="I92" s="44" t="s">
        <v>284</v>
      </c>
    </row>
    <row r="96" spans="2:9" x14ac:dyDescent="0.2">
      <c r="B96" s="44" t="s">
        <v>282</v>
      </c>
    </row>
    <row r="97" spans="2:2" x14ac:dyDescent="0.2">
      <c r="B97" s="44" t="s">
        <v>283</v>
      </c>
    </row>
  </sheetData>
  <mergeCells count="4">
    <mergeCell ref="B3:G3"/>
    <mergeCell ref="B27:G27"/>
    <mergeCell ref="B53:G53"/>
    <mergeCell ref="B75:G75"/>
  </mergeCells>
  <pageMargins left="0.7" right="0.7" top="0.75" bottom="0.75" header="0.3" footer="0.3"/>
  <pageSetup orientation="portrait" horizontalDpi="360" verticalDpi="36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C6ADA-4875-4ED8-B4AE-9751DBDA008E}">
  <dimension ref="B2:I113"/>
  <sheetViews>
    <sheetView topLeftCell="A34" zoomScale="94" workbookViewId="0">
      <selection activeCell="C50" sqref="C50"/>
    </sheetView>
  </sheetViews>
  <sheetFormatPr defaultColWidth="10.76171875" defaultRowHeight="15" x14ac:dyDescent="0.2"/>
  <cols>
    <col min="1" max="1" width="11.56640625" customWidth="1"/>
    <col min="2" max="2" width="13.5859375" customWidth="1"/>
  </cols>
  <sheetData>
    <row r="2" spans="2:9" x14ac:dyDescent="0.2">
      <c r="B2" s="97" t="s">
        <v>285</v>
      </c>
      <c r="C2" s="97"/>
      <c r="D2" s="97"/>
      <c r="E2" s="97"/>
      <c r="F2" s="97"/>
      <c r="G2" s="97"/>
    </row>
    <row r="4" spans="2:9" x14ac:dyDescent="0.2">
      <c r="B4" s="97" t="s">
        <v>291</v>
      </c>
      <c r="C4" s="97"/>
      <c r="D4" s="97"/>
      <c r="E4" s="97"/>
      <c r="F4" s="97"/>
      <c r="G4" s="97"/>
    </row>
    <row r="5" spans="2:9" x14ac:dyDescent="0.2">
      <c r="B5" s="2" t="s">
        <v>241</v>
      </c>
      <c r="C5" s="2">
        <v>2020</v>
      </c>
      <c r="D5" s="2">
        <v>2021</v>
      </c>
      <c r="E5" s="2">
        <v>2022</v>
      </c>
      <c r="F5" s="2">
        <v>2023</v>
      </c>
      <c r="G5" s="2">
        <v>2024</v>
      </c>
    </row>
    <row r="6" spans="2:9" x14ac:dyDescent="0.2">
      <c r="B6" s="2" t="s">
        <v>286</v>
      </c>
      <c r="C6" s="16">
        <f>'BG - ER'!C61/'BG - ER'!C54</f>
        <v>0.49853244621670445</v>
      </c>
      <c r="D6" s="16">
        <f>'BG - ER'!D61/'BG - ER'!D54</f>
        <v>0.52869884383964338</v>
      </c>
      <c r="E6" s="16">
        <f>'BG - ER'!E61/'BG - ER'!E54</f>
        <v>0.52029448874009332</v>
      </c>
      <c r="F6" s="16">
        <f>'BG - ER'!F61/'BG - ER'!F54</f>
        <v>0.50318336462511004</v>
      </c>
      <c r="G6" s="16">
        <f>'BG - ER'!G61/'BG - ER'!G54</f>
        <v>0.51687004521395219</v>
      </c>
    </row>
    <row r="7" spans="2:9" x14ac:dyDescent="0.2">
      <c r="B7" s="2" t="s">
        <v>287</v>
      </c>
      <c r="C7" s="16">
        <f>AVERAGE($C$6:$G$6)</f>
        <v>0.51351583772710074</v>
      </c>
      <c r="D7" s="16">
        <f t="shared" ref="D7:G7" si="0">AVERAGE($C$6:$G$6)</f>
        <v>0.51351583772710074</v>
      </c>
      <c r="E7" s="16">
        <f t="shared" si="0"/>
        <v>0.51351583772710074</v>
      </c>
      <c r="F7" s="16">
        <f t="shared" si="0"/>
        <v>0.51351583772710074</v>
      </c>
      <c r="G7" s="16">
        <f t="shared" si="0"/>
        <v>0.51351583772710074</v>
      </c>
    </row>
    <row r="15" spans="2:9" x14ac:dyDescent="0.2">
      <c r="I15" s="46" t="s">
        <v>294</v>
      </c>
    </row>
    <row r="16" spans="2:9" x14ac:dyDescent="0.2">
      <c r="I16" s="46" t="s">
        <v>296</v>
      </c>
    </row>
    <row r="18" spans="2:9" x14ac:dyDescent="0.2">
      <c r="I18" s="46" t="s">
        <v>292</v>
      </c>
    </row>
    <row r="19" spans="2:9" x14ac:dyDescent="0.2">
      <c r="I19" s="46" t="s">
        <v>293</v>
      </c>
    </row>
    <row r="20" spans="2:9" x14ac:dyDescent="0.2">
      <c r="I20" s="46" t="s">
        <v>295</v>
      </c>
    </row>
    <row r="26" spans="2:9" x14ac:dyDescent="0.2">
      <c r="B26" s="97" t="s">
        <v>290</v>
      </c>
      <c r="C26" s="97"/>
      <c r="D26" s="97"/>
      <c r="E26" s="97"/>
      <c r="F26" s="97"/>
      <c r="G26" s="97"/>
    </row>
    <row r="27" spans="2:9" x14ac:dyDescent="0.2">
      <c r="B27" s="2" t="s">
        <v>241</v>
      </c>
      <c r="C27" s="2">
        <v>2020</v>
      </c>
      <c r="D27" s="2">
        <v>2021</v>
      </c>
      <c r="E27" s="2">
        <v>2022</v>
      </c>
      <c r="F27" s="2">
        <v>2023</v>
      </c>
      <c r="G27" s="2">
        <v>2024</v>
      </c>
    </row>
    <row r="28" spans="2:9" x14ac:dyDescent="0.2">
      <c r="B28" s="2" t="s">
        <v>288</v>
      </c>
      <c r="C28" s="16">
        <f>'BG - ER'!C69/'BG - ER'!C54</f>
        <v>6.419990632622985E-2</v>
      </c>
      <c r="D28" s="16">
        <f>'BG - ER'!D69/'BG - ER'!D54</f>
        <v>0.11968175587557696</v>
      </c>
      <c r="E28" s="16">
        <f>'BG - ER'!E69/'BG - ER'!E54</f>
        <v>0.10346725485285692</v>
      </c>
      <c r="F28" s="16">
        <f>'BG - ER'!F69/'BG - ER'!F54</f>
        <v>0.10522575667493149</v>
      </c>
      <c r="G28" s="16">
        <f>'BG - ER'!G69/'BG - ER'!G54</f>
        <v>9.5139134457304014E-2</v>
      </c>
    </row>
    <row r="29" spans="2:9" x14ac:dyDescent="0.2">
      <c r="B29" s="2" t="s">
        <v>289</v>
      </c>
      <c r="C29" s="16">
        <f>AVERAGE($C$28:$G$28)</f>
        <v>9.7542761637379849E-2</v>
      </c>
      <c r="D29" s="16">
        <f t="shared" ref="D29:G29" si="1">AVERAGE($C$28:$G$28)</f>
        <v>9.7542761637379849E-2</v>
      </c>
      <c r="E29" s="16">
        <f t="shared" si="1"/>
        <v>9.7542761637379849E-2</v>
      </c>
      <c r="F29" s="16">
        <f t="shared" si="1"/>
        <v>9.7542761637379849E-2</v>
      </c>
      <c r="G29" s="16">
        <f t="shared" si="1"/>
        <v>9.7542761637379849E-2</v>
      </c>
    </row>
    <row r="35" spans="2:9" x14ac:dyDescent="0.2">
      <c r="I35" s="46" t="s">
        <v>341</v>
      </c>
    </row>
    <row r="36" spans="2:9" x14ac:dyDescent="0.2">
      <c r="I36" s="46" t="s">
        <v>342</v>
      </c>
    </row>
    <row r="48" spans="2:9" x14ac:dyDescent="0.2">
      <c r="B48" s="97" t="s">
        <v>345</v>
      </c>
      <c r="C48" s="97"/>
      <c r="D48" s="97"/>
      <c r="E48" s="97"/>
      <c r="F48" s="97"/>
      <c r="G48" s="97"/>
    </row>
    <row r="49" spans="2:9" x14ac:dyDescent="0.2">
      <c r="B49" s="2" t="s">
        <v>241</v>
      </c>
      <c r="C49" s="2">
        <v>2020</v>
      </c>
      <c r="D49" s="2">
        <v>2021</v>
      </c>
      <c r="E49" s="2">
        <v>2022</v>
      </c>
      <c r="F49" s="2">
        <v>2023</v>
      </c>
      <c r="G49" s="2">
        <v>2024</v>
      </c>
      <c r="I49" s="46" t="s">
        <v>346</v>
      </c>
    </row>
    <row r="50" spans="2:9" x14ac:dyDescent="0.2">
      <c r="B50" s="2" t="s">
        <v>343</v>
      </c>
      <c r="C50" s="51">
        <f>'BG - ER'!C84/'BG - ER'!C54</f>
        <v>6.160089480532617E-2</v>
      </c>
      <c r="D50" s="51">
        <f>'BG - ER'!D84/'BG - ER'!D54</f>
        <v>0.13378798077446657</v>
      </c>
      <c r="E50" s="51">
        <f>'BG - ER'!E84/'BG - ER'!E54</f>
        <v>0.12314218092862637</v>
      </c>
      <c r="F50" s="51">
        <f>'BG - ER'!F84/'BG - ER'!F54</f>
        <v>0.10082278956044942</v>
      </c>
      <c r="G50" s="51">
        <f>'BG - ER'!G84/'BG - ER'!G54</f>
        <v>9.2491779737562244E-2</v>
      </c>
      <c r="I50" s="46" t="s">
        <v>347</v>
      </c>
    </row>
    <row r="51" spans="2:9" x14ac:dyDescent="0.2">
      <c r="B51" s="2" t="s">
        <v>344</v>
      </c>
      <c r="C51" s="51">
        <f>AVERAGE($C$50:$G$50)</f>
        <v>0.10236912516128616</v>
      </c>
      <c r="D51" s="51">
        <f t="shared" ref="D51:G51" si="2">AVERAGE($C$50:$G$50)</f>
        <v>0.10236912516128616</v>
      </c>
      <c r="E51" s="51">
        <f t="shared" si="2"/>
        <v>0.10236912516128616</v>
      </c>
      <c r="F51" s="51">
        <f t="shared" si="2"/>
        <v>0.10236912516128616</v>
      </c>
      <c r="G51" s="51">
        <f t="shared" si="2"/>
        <v>0.10236912516128616</v>
      </c>
      <c r="I51" s="46" t="s">
        <v>348</v>
      </c>
    </row>
    <row r="52" spans="2:9" x14ac:dyDescent="0.2">
      <c r="I52" s="46" t="s">
        <v>349</v>
      </c>
    </row>
    <row r="53" spans="2:9" x14ac:dyDescent="0.2">
      <c r="I53" s="46" t="s">
        <v>350</v>
      </c>
    </row>
    <row r="55" spans="2:9" x14ac:dyDescent="0.2">
      <c r="I55" s="50" t="s">
        <v>397</v>
      </c>
    </row>
    <row r="71" spans="2:7" x14ac:dyDescent="0.2">
      <c r="B71" s="97" t="s">
        <v>368</v>
      </c>
      <c r="C71" s="97"/>
      <c r="D71" s="97"/>
      <c r="E71" s="97"/>
      <c r="F71" s="97"/>
      <c r="G71" s="97"/>
    </row>
    <row r="72" spans="2:7" x14ac:dyDescent="0.2">
      <c r="B72" s="2" t="s">
        <v>241</v>
      </c>
      <c r="C72" s="2">
        <v>2020</v>
      </c>
      <c r="D72" s="2">
        <v>2021</v>
      </c>
      <c r="E72" s="2">
        <v>2022</v>
      </c>
      <c r="F72" s="2">
        <v>2023</v>
      </c>
      <c r="G72" s="2">
        <v>2024</v>
      </c>
    </row>
    <row r="73" spans="2:7" x14ac:dyDescent="0.2">
      <c r="B73" s="2" t="s">
        <v>369</v>
      </c>
      <c r="C73" s="51">
        <f>'BG - ER'!C84/'BG - ER'!C23</f>
        <v>4.9807721231851114E-2</v>
      </c>
      <c r="D73" s="51">
        <f>'BG - ER'!D84/'BG - ER'!D23</f>
        <v>0.10196293102103694</v>
      </c>
      <c r="E73" s="51">
        <f>'BG - ER'!E84/'BG - ER'!E23</f>
        <v>9.1200611015638047E-2</v>
      </c>
      <c r="F73" s="51">
        <f>'BG - ER'!F84/'BG - ER'!F23</f>
        <v>6.7512994238051974E-2</v>
      </c>
      <c r="G73" s="51">
        <f>'BG - ER'!G84/'BG - ER'!G23</f>
        <v>6.1994214973821786E-2</v>
      </c>
    </row>
    <row r="74" spans="2:7" x14ac:dyDescent="0.2">
      <c r="B74" s="2" t="s">
        <v>370</v>
      </c>
      <c r="C74" s="51">
        <f>AVERAGE($C$73:$G$73)</f>
        <v>7.449569449607997E-2</v>
      </c>
      <c r="D74" s="51">
        <f t="shared" ref="D74:G74" si="3">AVERAGE($C$73:$G$73)</f>
        <v>7.449569449607997E-2</v>
      </c>
      <c r="E74" s="51">
        <f t="shared" si="3"/>
        <v>7.449569449607997E-2</v>
      </c>
      <c r="F74" s="51">
        <f t="shared" si="3"/>
        <v>7.449569449607997E-2</v>
      </c>
      <c r="G74" s="51">
        <f t="shared" si="3"/>
        <v>7.449569449607997E-2</v>
      </c>
    </row>
    <row r="83" spans="2:9" x14ac:dyDescent="0.2">
      <c r="I83" t="s">
        <v>371</v>
      </c>
    </row>
    <row r="84" spans="2:9" x14ac:dyDescent="0.2">
      <c r="I84" t="s">
        <v>372</v>
      </c>
    </row>
    <row r="85" spans="2:9" x14ac:dyDescent="0.2">
      <c r="I85" t="s">
        <v>373</v>
      </c>
    </row>
    <row r="86" spans="2:9" x14ac:dyDescent="0.2">
      <c r="I86" s="50" t="s">
        <v>374</v>
      </c>
    </row>
    <row r="93" spans="2:9" x14ac:dyDescent="0.2">
      <c r="B93" s="97" t="s">
        <v>376</v>
      </c>
      <c r="C93" s="97"/>
      <c r="D93" s="97"/>
      <c r="E93" s="97"/>
      <c r="F93" s="97"/>
      <c r="G93" s="97"/>
    </row>
    <row r="94" spans="2:9" x14ac:dyDescent="0.2">
      <c r="B94" s="2" t="s">
        <v>241</v>
      </c>
      <c r="C94" s="2">
        <v>2020</v>
      </c>
      <c r="D94" s="2">
        <v>2021</v>
      </c>
      <c r="E94" s="2">
        <v>2022</v>
      </c>
      <c r="F94" s="2">
        <v>2023</v>
      </c>
      <c r="G94" s="2">
        <v>2024</v>
      </c>
    </row>
    <row r="95" spans="2:9" x14ac:dyDescent="0.2">
      <c r="B95" s="2" t="s">
        <v>375</v>
      </c>
      <c r="C95" s="51">
        <f>'BG - ER'!C84/'BG - ER'!C45</f>
        <v>7.9086637512693805E-2</v>
      </c>
      <c r="D95" s="51">
        <f>'BG - ER'!D84/'BG - ER'!D45</f>
        <v>0.15149653072193714</v>
      </c>
      <c r="E95" s="51">
        <f>'BG - ER'!E84/'BG - ER'!E45</f>
        <v>0.13107034600120188</v>
      </c>
      <c r="F95" s="51">
        <f>'BG - ER'!F84/'BG - ER'!F45</f>
        <v>0.10298677813026068</v>
      </c>
      <c r="G95" s="51">
        <f>'BG - ER'!G84/'BG - ER'!G45</f>
        <v>9.5073676022393708E-2</v>
      </c>
    </row>
    <row r="96" spans="2:9" x14ac:dyDescent="0.2">
      <c r="B96" s="2" t="s">
        <v>377</v>
      </c>
      <c r="C96" s="51">
        <f>AVERAGE($C$95:$G$95)</f>
        <v>0.11194279367769744</v>
      </c>
      <c r="D96" s="51">
        <f t="shared" ref="D96:G96" si="4">AVERAGE($C$95:$G$95)</f>
        <v>0.11194279367769744</v>
      </c>
      <c r="E96" s="51">
        <f t="shared" si="4"/>
        <v>0.11194279367769744</v>
      </c>
      <c r="F96" s="51">
        <f t="shared" si="4"/>
        <v>0.11194279367769744</v>
      </c>
      <c r="G96" s="51">
        <f t="shared" si="4"/>
        <v>0.11194279367769744</v>
      </c>
    </row>
    <row r="108" spans="9:9" x14ac:dyDescent="0.2">
      <c r="I108" s="50" t="s">
        <v>378</v>
      </c>
    </row>
    <row r="109" spans="9:9" x14ac:dyDescent="0.2">
      <c r="I109" s="50" t="s">
        <v>379</v>
      </c>
    </row>
    <row r="110" spans="9:9" x14ac:dyDescent="0.2">
      <c r="I110" s="50" t="s">
        <v>380</v>
      </c>
    </row>
    <row r="111" spans="9:9" x14ac:dyDescent="0.2">
      <c r="I111" s="50" t="s">
        <v>381</v>
      </c>
    </row>
    <row r="112" spans="9:9" x14ac:dyDescent="0.2">
      <c r="I112" s="50" t="s">
        <v>382</v>
      </c>
    </row>
    <row r="113" spans="9:9" x14ac:dyDescent="0.2">
      <c r="I113" s="50" t="s">
        <v>383</v>
      </c>
    </row>
  </sheetData>
  <mergeCells count="6">
    <mergeCell ref="B93:G93"/>
    <mergeCell ref="B26:G26"/>
    <mergeCell ref="B4:G4"/>
    <mergeCell ref="B2:G2"/>
    <mergeCell ref="B48:G48"/>
    <mergeCell ref="B71:G71"/>
  </mergeCells>
  <pageMargins left="0.7" right="0.7" top="0.75" bottom="0.75" header="0.3" footer="0.3"/>
  <pageSetup orientation="portrait" horizontalDpi="360" verticalDpi="36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FA31-A0CE-4A68-BB5E-AF7C1A108BBF}">
  <dimension ref="A2:I32"/>
  <sheetViews>
    <sheetView topLeftCell="A14" workbookViewId="0">
      <selection activeCell="B23" sqref="B23"/>
    </sheetView>
  </sheetViews>
  <sheetFormatPr defaultColWidth="10.76171875" defaultRowHeight="15" x14ac:dyDescent="0.2"/>
  <cols>
    <col min="1" max="1" width="14.125" bestFit="1" customWidth="1"/>
    <col min="2" max="2" width="45.6015625" bestFit="1" customWidth="1"/>
  </cols>
  <sheetData>
    <row r="2" spans="1:9" x14ac:dyDescent="0.2">
      <c r="B2" s="97" t="s">
        <v>391</v>
      </c>
      <c r="C2" s="97"/>
      <c r="D2" s="97"/>
      <c r="E2" s="97"/>
      <c r="F2" s="97"/>
      <c r="G2" s="97"/>
    </row>
    <row r="3" spans="1:9" x14ac:dyDescent="0.2">
      <c r="B3" s="2" t="s">
        <v>241</v>
      </c>
      <c r="C3" s="2">
        <v>2020</v>
      </c>
      <c r="D3" s="2">
        <v>2021</v>
      </c>
      <c r="E3" s="2">
        <v>2022</v>
      </c>
      <c r="F3" s="2">
        <v>2023</v>
      </c>
      <c r="G3" s="2">
        <v>2024</v>
      </c>
      <c r="I3" s="50" t="s">
        <v>392</v>
      </c>
    </row>
    <row r="4" spans="1:9" x14ac:dyDescent="0.2">
      <c r="A4" s="43" t="s">
        <v>425</v>
      </c>
      <c r="B4" s="50" t="s">
        <v>394</v>
      </c>
      <c r="C4" s="51">
        <f>'BG - ER'!C84/'BG - ER'!C54</f>
        <v>6.160089480532617E-2</v>
      </c>
      <c r="D4" s="51">
        <f>'BG - ER'!D84/'BG - ER'!D54</f>
        <v>0.13378798077446657</v>
      </c>
      <c r="E4" s="51">
        <f>'BG - ER'!E84/'BG - ER'!E54</f>
        <v>0.12314218092862637</v>
      </c>
      <c r="F4" s="70">
        <f>'BG - ER'!F84/'BG - ER'!F54</f>
        <v>0.10082278956044942</v>
      </c>
      <c r="G4" s="70">
        <f>'BG - ER'!G84/'BG - ER'!G54</f>
        <v>9.2491779737562244E-2</v>
      </c>
      <c r="I4" s="50" t="s">
        <v>393</v>
      </c>
    </row>
    <row r="5" spans="1:9" x14ac:dyDescent="0.2">
      <c r="A5" s="43" t="s">
        <v>426</v>
      </c>
      <c r="B5" s="54" t="s">
        <v>395</v>
      </c>
      <c r="C5" s="53">
        <f>'BG - ER'!C54/'BG - ER'!C23</f>
        <v>0.80855515799333189</v>
      </c>
      <c r="D5" s="53">
        <f>'BG - ER'!D54/'BG - ER'!D23</f>
        <v>0.76212325225926836</v>
      </c>
      <c r="E5" s="53">
        <f>'BG - ER'!E54/'BG - ER'!E23</f>
        <v>0.74061227702714005</v>
      </c>
      <c r="F5" s="53">
        <f>'BG - ER'!F54/'BG - ER'!F23</f>
        <v>0.66962037583351941</v>
      </c>
      <c r="G5" s="53">
        <f>'BG - ER'!G54/'BG - ER'!G23</f>
        <v>0.67026729456093537</v>
      </c>
    </row>
    <row r="6" spans="1:9" x14ac:dyDescent="0.2">
      <c r="A6" s="43"/>
      <c r="B6" s="2" t="s">
        <v>412</v>
      </c>
      <c r="C6" s="42">
        <f>C4*C5</f>
        <v>4.9807721231851121E-2</v>
      </c>
      <c r="D6" s="42">
        <f t="shared" ref="D6:G6" si="0">D4*D5</f>
        <v>0.10196293102103693</v>
      </c>
      <c r="E6" s="42">
        <f t="shared" si="0"/>
        <v>9.1200611015638033E-2</v>
      </c>
      <c r="F6" s="42">
        <f t="shared" si="0"/>
        <v>6.7512994238051974E-2</v>
      </c>
      <c r="G6" s="42">
        <f t="shared" si="0"/>
        <v>6.1994214973821786E-2</v>
      </c>
      <c r="I6" s="50" t="s">
        <v>396</v>
      </c>
    </row>
    <row r="7" spans="1:9" x14ac:dyDescent="0.2">
      <c r="A7" s="43" t="s">
        <v>427</v>
      </c>
      <c r="B7" s="54" t="s">
        <v>407</v>
      </c>
      <c r="C7" s="55">
        <f>'BG - ER'!C23/'BG - ER'!C45</f>
        <v>1.5878389044251109</v>
      </c>
      <c r="D7" s="55">
        <f>'BG - ER'!D23/'BG - ER'!D45</f>
        <v>1.4858000766050994</v>
      </c>
      <c r="E7" s="55">
        <f>'BG - ER'!E23/'BG - ER'!E45</f>
        <v>1.4371652178813521</v>
      </c>
      <c r="F7" s="55">
        <f>'BG - ER'!F23/'BG - ER'!F45</f>
        <v>1.5254363888398659</v>
      </c>
      <c r="G7" s="55">
        <f>'BG - ER'!G23/'BG - ER'!G45</f>
        <v>1.5335894818982763</v>
      </c>
      <c r="I7" s="50" t="s">
        <v>398</v>
      </c>
    </row>
    <row r="8" spans="1:9" x14ac:dyDescent="0.2">
      <c r="B8" s="2" t="s">
        <v>413</v>
      </c>
      <c r="C8" s="51">
        <f>C6*C7</f>
        <v>7.9086637512693819E-2</v>
      </c>
      <c r="D8" s="51">
        <f t="shared" ref="D8:G8" si="1">D6*D7</f>
        <v>0.15149653072193714</v>
      </c>
      <c r="E8" s="51">
        <f t="shared" si="1"/>
        <v>0.13107034600120188</v>
      </c>
      <c r="F8" s="70">
        <f t="shared" si="1"/>
        <v>0.10298677813026068</v>
      </c>
      <c r="G8" s="70">
        <f t="shared" si="1"/>
        <v>9.5073676022393708E-2</v>
      </c>
      <c r="I8" s="50" t="s">
        <v>399</v>
      </c>
    </row>
    <row r="9" spans="1:9" x14ac:dyDescent="0.2">
      <c r="B9" s="50"/>
      <c r="I9" s="50" t="s">
        <v>400</v>
      </c>
    </row>
    <row r="10" spans="1:9" x14ac:dyDescent="0.2">
      <c r="B10" s="99" t="s">
        <v>428</v>
      </c>
      <c r="C10" s="100"/>
      <c r="D10" s="100"/>
      <c r="E10" s="100"/>
      <c r="F10" s="100"/>
      <c r="I10" s="50" t="s">
        <v>401</v>
      </c>
    </row>
    <row r="11" spans="1:9" x14ac:dyDescent="0.2">
      <c r="B11" s="100"/>
      <c r="C11" s="100"/>
      <c r="D11" s="100"/>
      <c r="E11" s="100"/>
      <c r="F11" s="100"/>
    </row>
    <row r="12" spans="1:9" x14ac:dyDescent="0.2">
      <c r="B12" s="100"/>
      <c r="C12" s="100"/>
      <c r="D12" s="100"/>
      <c r="E12" s="100"/>
      <c r="F12" s="100"/>
      <c r="I12" s="2" t="s">
        <v>403</v>
      </c>
    </row>
    <row r="13" spans="1:9" x14ac:dyDescent="0.2">
      <c r="B13" s="100"/>
      <c r="C13" s="100"/>
      <c r="D13" s="100"/>
      <c r="E13" s="100"/>
      <c r="F13" s="100"/>
      <c r="I13" s="50" t="s">
        <v>404</v>
      </c>
    </row>
    <row r="14" spans="1:9" x14ac:dyDescent="0.2">
      <c r="B14" s="100"/>
      <c r="C14" s="100"/>
      <c r="D14" s="100"/>
      <c r="E14" s="100"/>
      <c r="F14" s="100"/>
      <c r="I14" s="50" t="s">
        <v>402</v>
      </c>
    </row>
    <row r="16" spans="1:9" x14ac:dyDescent="0.2">
      <c r="I16" s="50" t="s">
        <v>405</v>
      </c>
    </row>
    <row r="17" spans="2:9" x14ac:dyDescent="0.2">
      <c r="B17" s="50"/>
      <c r="I17" s="50" t="s">
        <v>406</v>
      </c>
    </row>
    <row r="18" spans="2:9" x14ac:dyDescent="0.2">
      <c r="B18" s="50" t="s">
        <v>408</v>
      </c>
      <c r="I18" s="50"/>
    </row>
    <row r="19" spans="2:9" x14ac:dyDescent="0.2">
      <c r="B19" s="50" t="s">
        <v>409</v>
      </c>
      <c r="I19" s="2" t="s">
        <v>417</v>
      </c>
    </row>
    <row r="20" spans="2:9" x14ac:dyDescent="0.2">
      <c r="B20" s="50" t="s">
        <v>410</v>
      </c>
      <c r="I20" s="50" t="s">
        <v>416</v>
      </c>
    </row>
    <row r="21" spans="2:9" x14ac:dyDescent="0.2">
      <c r="B21" s="50" t="s">
        <v>411</v>
      </c>
    </row>
    <row r="23" spans="2:9" x14ac:dyDescent="0.2">
      <c r="B23" s="50" t="s">
        <v>414</v>
      </c>
    </row>
    <row r="26" spans="2:9" x14ac:dyDescent="0.2">
      <c r="B26" s="50" t="s">
        <v>415</v>
      </c>
    </row>
    <row r="28" spans="2:9" x14ac:dyDescent="0.2">
      <c r="B28" s="63" t="s">
        <v>429</v>
      </c>
    </row>
    <row r="30" spans="2:9" x14ac:dyDescent="0.2">
      <c r="B30" s="63" t="s">
        <v>430</v>
      </c>
    </row>
    <row r="31" spans="2:9" x14ac:dyDescent="0.2">
      <c r="B31" s="63" t="s">
        <v>431</v>
      </c>
    </row>
    <row r="32" spans="2:9" x14ac:dyDescent="0.2">
      <c r="B32" s="63" t="s">
        <v>432</v>
      </c>
    </row>
  </sheetData>
  <mergeCells count="2">
    <mergeCell ref="B2:G2"/>
    <mergeCell ref="B10:F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CCCC-4C81-467F-91C2-610414F15C87}">
  <dimension ref="B2:I62"/>
  <sheetViews>
    <sheetView topLeftCell="A39" workbookViewId="0">
      <selection activeCell="B63" sqref="B63"/>
    </sheetView>
  </sheetViews>
  <sheetFormatPr defaultColWidth="10.76171875" defaultRowHeight="15" x14ac:dyDescent="0.2"/>
  <cols>
    <col min="1" max="1" width="5.24609375" customWidth="1"/>
    <col min="2" max="2" width="19.234375" bestFit="1" customWidth="1"/>
    <col min="6" max="6" width="19.7734375" customWidth="1"/>
    <col min="7" max="7" width="17.62109375" bestFit="1" customWidth="1"/>
  </cols>
  <sheetData>
    <row r="2" spans="2:9" x14ac:dyDescent="0.2">
      <c r="B2" s="2" t="s">
        <v>200</v>
      </c>
      <c r="C2" s="2" t="s">
        <v>313</v>
      </c>
      <c r="D2" s="2" t="s">
        <v>314</v>
      </c>
      <c r="E2" s="2" t="s">
        <v>326</v>
      </c>
      <c r="F2" s="2"/>
      <c r="G2" s="2" t="s">
        <v>200</v>
      </c>
      <c r="H2" s="2" t="s">
        <v>313</v>
      </c>
      <c r="I2" s="2" t="s">
        <v>314</v>
      </c>
    </row>
    <row r="3" spans="2:9" x14ac:dyDescent="0.2">
      <c r="B3" s="46" t="s">
        <v>297</v>
      </c>
      <c r="C3">
        <v>10</v>
      </c>
      <c r="D3">
        <v>10</v>
      </c>
      <c r="E3" s="46" t="s">
        <v>302</v>
      </c>
      <c r="G3" s="46" t="s">
        <v>306</v>
      </c>
      <c r="H3" s="8">
        <f>C3*C6</f>
        <v>150000</v>
      </c>
      <c r="I3" s="8">
        <f>D3*D6</f>
        <v>216921.31246500002</v>
      </c>
    </row>
    <row r="4" spans="2:9" x14ac:dyDescent="0.2">
      <c r="B4" s="46" t="s">
        <v>298</v>
      </c>
      <c r="C4">
        <v>5</v>
      </c>
      <c r="D4">
        <v>5</v>
      </c>
      <c r="E4" s="46" t="s">
        <v>303</v>
      </c>
      <c r="G4" s="46" t="s">
        <v>307</v>
      </c>
      <c r="H4" s="8">
        <f>C6</f>
        <v>15000</v>
      </c>
      <c r="I4" s="8">
        <f>D7*D6</f>
        <v>43384.262493000002</v>
      </c>
    </row>
    <row r="5" spans="2:9" x14ac:dyDescent="0.2">
      <c r="B5" s="46" t="s">
        <v>299</v>
      </c>
      <c r="C5" s="8">
        <v>50000</v>
      </c>
      <c r="D5" s="8">
        <v>50000</v>
      </c>
      <c r="E5" s="46" t="s">
        <v>304</v>
      </c>
      <c r="G5" s="46" t="s">
        <v>308</v>
      </c>
      <c r="H5" s="8">
        <f>H3-H4</f>
        <v>135000</v>
      </c>
      <c r="I5" s="8">
        <f>I3-I4</f>
        <v>173537.04997200001</v>
      </c>
    </row>
    <row r="6" spans="2:9" x14ac:dyDescent="0.2">
      <c r="B6" s="46" t="s">
        <v>300</v>
      </c>
      <c r="C6" s="8">
        <v>15000</v>
      </c>
      <c r="D6" s="8">
        <v>21692.131246500001</v>
      </c>
      <c r="E6" s="46" t="s">
        <v>305</v>
      </c>
      <c r="G6" s="47" t="s">
        <v>309</v>
      </c>
      <c r="H6" s="12">
        <f>C4*C6</f>
        <v>75000</v>
      </c>
      <c r="I6" s="12">
        <f>D4*D6</f>
        <v>108460.65623250001</v>
      </c>
    </row>
    <row r="7" spans="2:9" x14ac:dyDescent="0.2">
      <c r="B7" s="46" t="s">
        <v>301</v>
      </c>
      <c r="C7">
        <v>1</v>
      </c>
      <c r="D7">
        <v>2</v>
      </c>
      <c r="E7" s="46" t="s">
        <v>303</v>
      </c>
      <c r="G7" s="2" t="s">
        <v>310</v>
      </c>
      <c r="H7" s="9">
        <f>H5-H6</f>
        <v>60000</v>
      </c>
      <c r="I7" s="9">
        <f>I5-I6</f>
        <v>65076.393739499996</v>
      </c>
    </row>
    <row r="8" spans="2:9" x14ac:dyDescent="0.2">
      <c r="G8" s="47" t="s">
        <v>311</v>
      </c>
      <c r="H8" s="12">
        <f>C5</f>
        <v>50000</v>
      </c>
      <c r="I8" s="12">
        <f>D5</f>
        <v>50000</v>
      </c>
    </row>
    <row r="9" spans="2:9" x14ac:dyDescent="0.2">
      <c r="G9" s="2" t="s">
        <v>312</v>
      </c>
      <c r="H9" s="9">
        <f>H7-H8</f>
        <v>10000</v>
      </c>
      <c r="I9" s="9">
        <f>I7-I8</f>
        <v>15076.393739499996</v>
      </c>
    </row>
    <row r="10" spans="2:9" x14ac:dyDescent="0.2">
      <c r="H10" s="8"/>
      <c r="I10" s="8"/>
    </row>
    <row r="11" spans="2:9" x14ac:dyDescent="0.2">
      <c r="G11" s="46" t="s">
        <v>327</v>
      </c>
      <c r="H11" s="16">
        <f>H7/H3</f>
        <v>0.4</v>
      </c>
      <c r="I11" s="16">
        <f>I7/I3</f>
        <v>0.29999999999999993</v>
      </c>
    </row>
    <row r="12" spans="2:9" x14ac:dyDescent="0.2">
      <c r="G12" s="46" t="s">
        <v>328</v>
      </c>
      <c r="H12" s="16">
        <f>H9/H3</f>
        <v>6.6666666666666666E-2</v>
      </c>
      <c r="I12" s="16">
        <f>I9/I3</f>
        <v>6.9501671219754174E-2</v>
      </c>
    </row>
    <row r="14" spans="2:9" x14ac:dyDescent="0.2">
      <c r="B14" s="46" t="s">
        <v>329</v>
      </c>
    </row>
    <row r="15" spans="2:9" x14ac:dyDescent="0.2">
      <c r="B15" s="46" t="s">
        <v>330</v>
      </c>
      <c r="G15" s="46" t="s">
        <v>315</v>
      </c>
    </row>
    <row r="17" spans="2:7" x14ac:dyDescent="0.2">
      <c r="B17" s="46" t="s">
        <v>331</v>
      </c>
      <c r="G17" s="46" t="s">
        <v>316</v>
      </c>
    </row>
    <row r="18" spans="2:7" x14ac:dyDescent="0.2">
      <c r="B18" s="46" t="s">
        <v>332</v>
      </c>
      <c r="G18" s="46" t="s">
        <v>317</v>
      </c>
    </row>
    <row r="19" spans="2:7" x14ac:dyDescent="0.2">
      <c r="G19" s="46" t="s">
        <v>318</v>
      </c>
    </row>
    <row r="20" spans="2:7" x14ac:dyDescent="0.2">
      <c r="B20" s="46" t="s">
        <v>333</v>
      </c>
    </row>
    <row r="21" spans="2:7" x14ac:dyDescent="0.2">
      <c r="B21" s="46" t="s">
        <v>334</v>
      </c>
      <c r="G21" s="46" t="s">
        <v>319</v>
      </c>
    </row>
    <row r="22" spans="2:7" x14ac:dyDescent="0.2">
      <c r="B22" s="46" t="s">
        <v>335</v>
      </c>
      <c r="G22" s="46" t="s">
        <v>320</v>
      </c>
    </row>
    <row r="23" spans="2:7" x14ac:dyDescent="0.2">
      <c r="B23" s="46" t="s">
        <v>336</v>
      </c>
      <c r="G23" s="46" t="s">
        <v>321</v>
      </c>
    </row>
    <row r="24" spans="2:7" x14ac:dyDescent="0.2">
      <c r="G24" s="46" t="s">
        <v>322</v>
      </c>
    </row>
    <row r="25" spans="2:7" x14ac:dyDescent="0.2">
      <c r="B25" s="46" t="s">
        <v>337</v>
      </c>
      <c r="G25" s="46" t="s">
        <v>323</v>
      </c>
    </row>
    <row r="26" spans="2:7" x14ac:dyDescent="0.2">
      <c r="B26" s="46" t="s">
        <v>338</v>
      </c>
      <c r="G26" s="46" t="s">
        <v>325</v>
      </c>
    </row>
    <row r="27" spans="2:7" x14ac:dyDescent="0.2">
      <c r="B27" s="46" t="s">
        <v>339</v>
      </c>
      <c r="G27" s="46" t="s">
        <v>324</v>
      </c>
    </row>
    <row r="29" spans="2:7" x14ac:dyDescent="0.2">
      <c r="B29" s="46" t="s">
        <v>340</v>
      </c>
    </row>
    <row r="32" spans="2:7" x14ac:dyDescent="0.2">
      <c r="B32" s="2" t="s">
        <v>351</v>
      </c>
    </row>
    <row r="33" spans="2:2" x14ac:dyDescent="0.2">
      <c r="B33" t="s">
        <v>352</v>
      </c>
    </row>
    <row r="34" spans="2:2" x14ac:dyDescent="0.2">
      <c r="B34" s="48" t="s">
        <v>353</v>
      </c>
    </row>
    <row r="35" spans="2:2" x14ac:dyDescent="0.2">
      <c r="B35" s="48" t="s">
        <v>354</v>
      </c>
    </row>
    <row r="36" spans="2:2" x14ac:dyDescent="0.2">
      <c r="B36" s="48" t="s">
        <v>355</v>
      </c>
    </row>
    <row r="38" spans="2:2" x14ac:dyDescent="0.2">
      <c r="B38" s="2" t="s">
        <v>360</v>
      </c>
    </row>
    <row r="39" spans="2:2" x14ac:dyDescent="0.2">
      <c r="B39" s="49" t="s">
        <v>356</v>
      </c>
    </row>
    <row r="40" spans="2:2" x14ac:dyDescent="0.2">
      <c r="B40" s="49" t="s">
        <v>357</v>
      </c>
    </row>
    <row r="41" spans="2:2" x14ac:dyDescent="0.2">
      <c r="B41" s="2" t="s">
        <v>358</v>
      </c>
    </row>
    <row r="42" spans="2:2" x14ac:dyDescent="0.2">
      <c r="B42" s="2" t="s">
        <v>359</v>
      </c>
    </row>
    <row r="44" spans="2:2" x14ac:dyDescent="0.2">
      <c r="B44" s="2" t="s">
        <v>361</v>
      </c>
    </row>
    <row r="45" spans="2:2" x14ac:dyDescent="0.2">
      <c r="B45" s="49" t="s">
        <v>362</v>
      </c>
    </row>
    <row r="46" spans="2:2" x14ac:dyDescent="0.2">
      <c r="B46" s="49" t="s">
        <v>363</v>
      </c>
    </row>
    <row r="47" spans="2:2" x14ac:dyDescent="0.2">
      <c r="B47" s="49" t="s">
        <v>364</v>
      </c>
    </row>
    <row r="48" spans="2:2" x14ac:dyDescent="0.2">
      <c r="B48" s="2" t="s">
        <v>365</v>
      </c>
    </row>
    <row r="49" spans="2:5" x14ac:dyDescent="0.2">
      <c r="B49" s="2" t="s">
        <v>366</v>
      </c>
    </row>
    <row r="50" spans="2:5" x14ac:dyDescent="0.2">
      <c r="B50" s="2" t="s">
        <v>367</v>
      </c>
    </row>
    <row r="52" spans="2:5" x14ac:dyDescent="0.2">
      <c r="B52" s="52" t="s">
        <v>386</v>
      </c>
    </row>
    <row r="53" spans="2:5" x14ac:dyDescent="0.2">
      <c r="B53" s="2" t="s">
        <v>200</v>
      </c>
      <c r="C53">
        <v>1</v>
      </c>
      <c r="D53">
        <v>2</v>
      </c>
      <c r="E53">
        <v>3</v>
      </c>
    </row>
    <row r="54" spans="2:5" x14ac:dyDescent="0.2">
      <c r="B54" s="2" t="s">
        <v>384</v>
      </c>
      <c r="C54">
        <v>10</v>
      </c>
      <c r="D54">
        <v>15</v>
      </c>
      <c r="E54">
        <v>20</v>
      </c>
    </row>
    <row r="55" spans="2:5" x14ac:dyDescent="0.2">
      <c r="B55" s="2" t="s">
        <v>385</v>
      </c>
      <c r="C55">
        <v>100</v>
      </c>
      <c r="D55">
        <v>200</v>
      </c>
      <c r="E55">
        <v>300</v>
      </c>
    </row>
    <row r="57" spans="2:5" x14ac:dyDescent="0.2">
      <c r="B57" s="2" t="s">
        <v>386</v>
      </c>
      <c r="C57" s="16">
        <f>C54/C55</f>
        <v>0.1</v>
      </c>
      <c r="D57" s="16">
        <f t="shared" ref="D57:E57" si="0">D54/D55</f>
        <v>7.4999999999999997E-2</v>
      </c>
      <c r="E57" s="16">
        <f t="shared" si="0"/>
        <v>6.6666666666666666E-2</v>
      </c>
    </row>
    <row r="59" spans="2:5" x14ac:dyDescent="0.2">
      <c r="B59" s="2" t="s">
        <v>387</v>
      </c>
    </row>
    <row r="60" spans="2:5" x14ac:dyDescent="0.2">
      <c r="B60" s="50" t="s">
        <v>388</v>
      </c>
    </row>
    <row r="61" spans="2:5" x14ac:dyDescent="0.2">
      <c r="B61" s="2" t="s">
        <v>389</v>
      </c>
    </row>
    <row r="62" spans="2:5" x14ac:dyDescent="0.2">
      <c r="B62" s="50" t="s">
        <v>390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9</vt:i4>
      </vt:variant>
    </vt:vector>
  </HeadingPairs>
  <TitlesOfParts>
    <vt:vector size="9" baseType="lpstr">
      <vt:lpstr>BG - ER</vt:lpstr>
      <vt:lpstr>Hoja1</vt:lpstr>
      <vt:lpstr>NOTAS</vt:lpstr>
      <vt:lpstr>LIQUIDEZ</vt:lpstr>
      <vt:lpstr>DEUDA</vt:lpstr>
      <vt:lpstr>EFICIENCIA O ACTIVIDAD</vt:lpstr>
      <vt:lpstr>RENTABILIDAD</vt:lpstr>
      <vt:lpstr>DUPONT</vt:lpstr>
      <vt:lpstr>TEORIA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dc:creator>
  <cp:lastModifiedBy>ASUS</cp:lastModifiedBy>
  <dcterms:created xsi:type="dcterms:W3CDTF">2025-03-13T21:01:09Z</dcterms:created>
  <dcterms:modified xsi:type="dcterms:W3CDTF">2025-05-27T00:10:02Z</dcterms:modified>
</cp:coreProperties>
</file>